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" sheetId="1" r:id="rId5"/>
    <sheet state="visible" name="1010" sheetId="2" r:id="rId6"/>
    <sheet state="visible" name="2609" sheetId="3" r:id="rId7"/>
    <sheet state="visible" name="1209" sheetId="4" r:id="rId8"/>
    <sheet state="visible" name="0808" sheetId="5" r:id="rId9"/>
    <sheet state="visible" name="0108" sheetId="6" r:id="rId10"/>
    <sheet state="visible" name="2407" sheetId="7" r:id="rId11"/>
    <sheet state="visible" name="1807" sheetId="8" r:id="rId12"/>
    <sheet state="visible" name="1107" sheetId="9" r:id="rId13"/>
    <sheet state="visible" name="0407" sheetId="10" r:id="rId14"/>
    <sheet state="visible" name="2606" sheetId="11" r:id="rId15"/>
    <sheet state="visible" name="1806" sheetId="12" r:id="rId16"/>
    <sheet state="visible" name="0706" sheetId="13" r:id="rId17"/>
    <sheet state="visible" name="3005" sheetId="14" r:id="rId18"/>
    <sheet state="visible" name="2405" sheetId="15" r:id="rId19"/>
    <sheet state="visible" name="1705" sheetId="16" r:id="rId20"/>
    <sheet state="visible" name="105" sheetId="17" r:id="rId21"/>
    <sheet state="visible" name="25" sheetId="18" r:id="rId22"/>
    <sheet state="visible" name="274" sheetId="19" r:id="rId23"/>
    <sheet state="visible" name="254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tc={2c958128-0c4e-4291-acd5-ba9c98b52c58}</author>
  </authors>
  <commentList>
    <comment authorId="0" xr:uid="{2c958128-0c4e-4291-acd5-ba9c98b52c58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(+) là cần nhận, (-) là còn nợ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tc={341a838f-2fa8-4d94-887c-68f49b6f0d14}</author>
  </authors>
  <commentList>
    <comment authorId="0" xr:uid="{341a838f-2fa8-4d94-887c-68f49b6f0d14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Kết chuyển sang đợt sau.
</t>
      </text>
    </comment>
  </commentList>
</comments>
</file>

<file path=xl/sharedStrings.xml><?xml version="1.0" encoding="utf-8"?>
<sst xmlns="http://schemas.openxmlformats.org/spreadsheetml/2006/main" count="830" uniqueCount="284">
  <si>
    <t>Dư nợ update tới 10/09</t>
  </si>
  <si>
    <t>Dư nợ update tới 12/09</t>
  </si>
  <si>
    <t>Dư nợ update tới 26/09</t>
  </si>
  <si>
    <t>N.o</t>
  </si>
  <si>
    <t>Tổng kết dư nợ</t>
  </si>
  <si>
    <t xml:space="preserve">Cách thức: Ai có dòng màu đỏ "Chuyển tiền" chuyển khoản hết cho t theo "Tổng tiền" tương ứng phía trên, xong t sẽ chuyển lại cho những người có dòng màu xanh "Nhận tiền". </t>
  </si>
  <si>
    <t>Summary số lượng</t>
  </si>
  <si>
    <t>Outs.</t>
  </si>
  <si>
    <t>Số người</t>
  </si>
  <si>
    <t>Nội dung</t>
  </si>
  <si>
    <t>Thành viên</t>
  </si>
  <si>
    <t>Toàn</t>
  </si>
  <si>
    <t>Trường + Thủy</t>
  </si>
  <si>
    <t>Băng + Tâm</t>
  </si>
  <si>
    <t>Tú</t>
  </si>
  <si>
    <t>Kiên</t>
  </si>
  <si>
    <t>Thái</t>
  </si>
  <si>
    <t>Thảo</t>
  </si>
  <si>
    <t>Tạ Ánh</t>
  </si>
  <si>
    <t>Dư nợ update tới 08/08</t>
  </si>
  <si>
    <t>Phan</t>
  </si>
  <si>
    <t>Quân</t>
  </si>
  <si>
    <t>Châu Linh</t>
  </si>
  <si>
    <t>Thảo + Ny</t>
  </si>
  <si>
    <t>Ngân</t>
  </si>
  <si>
    <t>Diệp</t>
  </si>
  <si>
    <t>Đánh cầu 10/10</t>
  </si>
  <si>
    <t>Đánh cầu 12/09</t>
  </si>
  <si>
    <t>Đánh cầu 19/09</t>
  </si>
  <si>
    <t>Đánh cầu 03/10</t>
  </si>
  <si>
    <t>Đánh cầu 26/09</t>
  </si>
  <si>
    <t>Đánh cầu 05/09</t>
  </si>
  <si>
    <t>Đánh cầu 22/08</t>
  </si>
  <si>
    <t>Thanh</t>
  </si>
  <si>
    <t>Thanh Tâm</t>
  </si>
  <si>
    <t>Thiện</t>
  </si>
  <si>
    <t>Tổng tiền thanh toán</t>
  </si>
  <si>
    <t>Đi cầu lông 08/08</t>
  </si>
  <si>
    <t>K/q</t>
  </si>
  <si>
    <t>Tình trạng thanh toán</t>
  </si>
  <si>
    <t>Tốt nghiệp Diệp</t>
  </si>
  <si>
    <t>Dư nợ (&gt;0: nhận lại)</t>
  </si>
  <si>
    <t>Status</t>
  </si>
  <si>
    <t>Nội dung chi tiết:</t>
  </si>
  <si>
    <t>Tổng ứng trước</t>
  </si>
  <si>
    <t>Tổng chi phí</t>
  </si>
  <si>
    <t>Tổng tiền</t>
  </si>
  <si>
    <t>Ứng bởi</t>
  </si>
  <si>
    <t>Ghi chú</t>
  </si>
  <si>
    <t>Check</t>
  </si>
  <si>
    <t>Danh mục chi tiêu</t>
  </si>
  <si>
    <t>Đánh cầu ngày 10/10</t>
  </si>
  <si>
    <t>1 sân</t>
  </si>
  <si>
    <t>Tiền sân cầu lông 10/10</t>
  </si>
  <si>
    <t>Đánh cầu ngày 12/09</t>
  </si>
  <si>
    <t>340k ~ 12 quả</t>
  </si>
  <si>
    <t>Tiền cầu (3 quả) 10/10</t>
  </si>
  <si>
    <t>Đánh cầu ngày 03/10</t>
  </si>
  <si>
    <t>Đánh cầu ngày 19/09</t>
  </si>
  <si>
    <t>Tiền sân cầu lông 12/09</t>
  </si>
  <si>
    <t>Tiền sân cầu lông 03/10</t>
  </si>
  <si>
    <t>2 sân</t>
  </si>
  <si>
    <t>Tiền sân cầu lông 19/09</t>
  </si>
  <si>
    <t>Tiền cầu (5 quả) 03/10</t>
  </si>
  <si>
    <t>Tiền cầu (8 quả) 12/09</t>
  </si>
  <si>
    <t>10k ~ 1 chai</t>
  </si>
  <si>
    <t>Revice + đá</t>
  </si>
  <si>
    <t>Tiền cầu (6 quả) 19/09</t>
  </si>
  <si>
    <t>Bù trừ nợ đợt trước</t>
  </si>
  <si>
    <t>Đánh cầu ngày 08/08</t>
  </si>
  <si>
    <t>Trà đá (2 can)</t>
  </si>
  <si>
    <t>Tiền cầu lông 12/09 (xem sheet trc)</t>
  </si>
  <si>
    <t>Tiền nước + đá</t>
  </si>
  <si>
    <t>Tiền sân cầu lông 08/08</t>
  </si>
  <si>
    <t>Đánh cầu ngày 05/09</t>
  </si>
  <si>
    <t>Đánh cầu ngày 26/09</t>
  </si>
  <si>
    <t>Kiên, Toàn | Cơm rang gà MQ</t>
  </si>
  <si>
    <t>Tiền sân cầu lông 05/09</t>
  </si>
  <si>
    <t>Tiền sân cầu lông 26/09</t>
  </si>
  <si>
    <t>Kiên, Toàn | Cơm trưa</t>
  </si>
  <si>
    <t>Tiền cầu (5 quả) 08/08</t>
  </si>
  <si>
    <t>DETAILS</t>
  </si>
  <si>
    <t>Tiền nước Revice (2 chai)</t>
  </si>
  <si>
    <t>Tiền cầu (3 quả) 05/09</t>
  </si>
  <si>
    <t>Tiền cầu (4 quả) 26/09</t>
  </si>
  <si>
    <t>Đánh cầu ngày 22/08</t>
  </si>
  <si>
    <t>Tiền ăn chè + nem chua rán</t>
  </si>
  <si>
    <t>Tiền sân cầu lông 22/08</t>
  </si>
  <si>
    <t>Đánh cầu ngày 09/08</t>
  </si>
  <si>
    <t>Tiền cầu (4 quả) 22/08</t>
  </si>
  <si>
    <t>Tiền nước lọc (2 chai)</t>
  </si>
  <si>
    <t>Dư nợ update tới 01/08</t>
  </si>
  <si>
    <t>Tiền nước Revice (3 chai)</t>
  </si>
  <si>
    <t>Tiền cầu lông 08/08 (xem sheet trc)</t>
  </si>
  <si>
    <t>Kiên, Toàn | Mỳ gà tần</t>
  </si>
  <si>
    <t>Tiền bánh mỳ</t>
  </si>
  <si>
    <t>Tiền nước (1 chai)</t>
  </si>
  <si>
    <t>Kiên, Toàn | Bún riêu cua</t>
  </si>
  <si>
    <t>Đi cầu lông 01/08</t>
  </si>
  <si>
    <t>Tiền hoa cho Diệp + Matcha</t>
  </si>
  <si>
    <t>Ăn bún bò huế buổi trưa</t>
  </si>
  <si>
    <t>Tiền đi taxi</t>
  </si>
  <si>
    <t>Đánh cầu ngày 07/08</t>
  </si>
  <si>
    <t>Dư nợ update tới 24/07</t>
  </si>
  <si>
    <t>Tiền sân cầu lông 07/08</t>
  </si>
  <si>
    <t>Tiền cầu (1 quả) 07/08</t>
  </si>
  <si>
    <t>Dư nợ update tới 18/07</t>
  </si>
  <si>
    <t>Tiến</t>
  </si>
  <si>
    <t>Đi cầu lông 24/07</t>
  </si>
  <si>
    <t>Tiền cầu lông 01/08 (xem sheet trc)</t>
  </si>
  <si>
    <t>Đi cầu lông 18/07</t>
  </si>
  <si>
    <t>Thiện và Toàn | Túi ni lông</t>
  </si>
  <si>
    <t>Toàn và Trường | Tiền điều hòa</t>
  </si>
  <si>
    <t>Toàn và Trường | Tiền căng cước</t>
  </si>
  <si>
    <t>Tiền sân cầu lông 01/08</t>
  </si>
  <si>
    <t>Dư nợ update tới 11/07</t>
  </si>
  <si>
    <t>1 can trà đá</t>
  </si>
  <si>
    <t>Khiêm</t>
  </si>
  <si>
    <t>Đi cầu lông 11/07</t>
  </si>
  <si>
    <t>Tiền cầu (3 quả) 01/08</t>
  </si>
  <si>
    <t>Tiền sân cầu lông 24/07</t>
  </si>
  <si>
    <t>Tiền cầu lông 24/07 (xem sheet trc)</t>
  </si>
  <si>
    <t>Tiền cầu (6 quả) 24/07</t>
  </si>
  <si>
    <t>Tiền sân cầu lông 18/07</t>
  </si>
  <si>
    <t>Kiên và Toàn | Túi cầu lông</t>
  </si>
  <si>
    <t>Kiên, Toàn và Trường | Ăn tối</t>
  </si>
  <si>
    <t>Tiền cầu ( quả) 18/07</t>
  </si>
  <si>
    <t>9k ~ 1 chai</t>
  </si>
  <si>
    <t>Tiền cầu lông 18/07 (xem sheet trc)</t>
  </si>
  <si>
    <t>Tiền cầu lông 11/07 (xem sheet trc)</t>
  </si>
  <si>
    <t>Kiên và Toàn | Tiền đánh cầu</t>
  </si>
  <si>
    <t>Kiên và Toàn | Tiền ăn tối 24/07</t>
  </si>
  <si>
    <t>Tâm và Toàn | Tiền ăn tối</t>
  </si>
  <si>
    <t>Kiên và Toàn | Tiền sửa xe</t>
  </si>
  <si>
    <t>Dư nợ update tới 04/07</t>
  </si>
  <si>
    <t>Tiền sân cầu lông 11/07</t>
  </si>
  <si>
    <t>Trường</t>
  </si>
  <si>
    <t>Dũng</t>
  </si>
  <si>
    <t>Đi cầu lông 04/07</t>
  </si>
  <si>
    <t>Tiền cầu (5 quả) 11/07</t>
  </si>
  <si>
    <t>Đi cầu lông 26/07</t>
  </si>
  <si>
    <t>Dư nợ update tới 26/06</t>
  </si>
  <si>
    <t>Dư nợ update tới 18/06</t>
  </si>
  <si>
    <t>Băng</t>
  </si>
  <si>
    <t>Bạn Kiên [3]</t>
  </si>
  <si>
    <t>Tâm</t>
  </si>
  <si>
    <t>Đánh cầu 18/06</t>
  </si>
  <si>
    <t>Dư nợ</t>
  </si>
  <si>
    <t>Tiền nước CV Phùng Khoang</t>
  </si>
  <si>
    <t>Đánh cầu 17/06</t>
  </si>
  <si>
    <t>Đi cầu lông 26/06</t>
  </si>
  <si>
    <t>Đánh cầu hôm mưa bão</t>
  </si>
  <si>
    <t>Tiền cầu lông 04/07 (xem sheet trc)</t>
  </si>
  <si>
    <t>Kiên và Toàn | Tiền cơm rang ăn tối</t>
  </si>
  <si>
    <t>Kiên, Toàn và Trường | Tiền cầu lông</t>
  </si>
  <si>
    <t>Tiền sân cầu lông 04/07</t>
  </si>
  <si>
    <t xml:space="preserve">Toàn và Trường | Băng chuyển nhầm </t>
  </si>
  <si>
    <t>Tiền cầu (2 quả) 04/07</t>
  </si>
  <si>
    <t>Toàn và Trường | Tiền ăn nướng trưa CN</t>
  </si>
  <si>
    <t>Tiền nước Revice (4 chai) + đá</t>
  </si>
  <si>
    <t>Tiền sân cầu lông 01/07</t>
  </si>
  <si>
    <t>Tiền cầu (2 quả) 01/07</t>
  </si>
  <si>
    <t xml:space="preserve">Tiền nước Revice (2 chai) </t>
  </si>
  <si>
    <t>Tiền sân cầu lông 18/06</t>
  </si>
  <si>
    <t>Dư nợ update tới 07/06</t>
  </si>
  <si>
    <t>Tiền cầu lông 26/06 (xem sheet trc)</t>
  </si>
  <si>
    <t>Tiền cầu (2 quả) 18/06</t>
  </si>
  <si>
    <t>Toàn và Tâm | Tiền ăn phở</t>
  </si>
  <si>
    <t>Tiền sân cầu lông 26/06</t>
  </si>
  <si>
    <t>Kiên và Toàn | Bún bò huế ăn sáng</t>
  </si>
  <si>
    <t>8000 ~ 1 chai</t>
  </si>
  <si>
    <t>Đi đánh cầu 07/06</t>
  </si>
  <si>
    <t>Tiền nước Revice trắng (2 chai)</t>
  </si>
  <si>
    <t>Kiên và Toàn | Tiền nước cl trưa t7</t>
  </si>
  <si>
    <t>Toàn và Tú | Tiền nước cl trưa t7</t>
  </si>
  <si>
    <t xml:space="preserve">Kiền và Tú | Tiền bánh mỳ </t>
  </si>
  <si>
    <t>Tú, Trường và Quân | Tiền bún</t>
  </si>
  <si>
    <t>Kiên và Toàn | Tiền ăn tối</t>
  </si>
  <si>
    <t>Mua thùng đá giữ nhiệt</t>
  </si>
  <si>
    <t>11000 ~ 1 chai</t>
  </si>
  <si>
    <t>Tiền cầu (4 quả) 26/06</t>
  </si>
  <si>
    <t>Tiền nước Revice vàng (4 chai) + đá</t>
  </si>
  <si>
    <t>9000 ~ 1 chai</t>
  </si>
  <si>
    <t xml:space="preserve">Tiền nước Revice (4 chai) </t>
  </si>
  <si>
    <t>Tiền sân cầu lông 17/06</t>
  </si>
  <si>
    <t xml:space="preserve">Tiền nước Boost + khoáng 17/06 </t>
  </si>
  <si>
    <t>Tiền cầu lông 18/06 (xem sheet trc)</t>
  </si>
  <si>
    <t>Dư nợ update tới 30/05</t>
  </si>
  <si>
    <t>Tiền cầu (6 quả) 17/06</t>
  </si>
  <si>
    <t>Tiền nước Revice + đá lạnh 13/06</t>
  </si>
  <si>
    <t xml:space="preserve">Trường </t>
  </si>
  <si>
    <t>Đi đánh cầu lông 30/05</t>
  </si>
  <si>
    <t>Tiền sân cầu lông mưa bão</t>
  </si>
  <si>
    <t>Chuyển sang sheet sau</t>
  </si>
  <si>
    <t>Tiền cầu (3 quả)</t>
  </si>
  <si>
    <t>Đi ăn lẩu 30/05</t>
  </si>
  <si>
    <t>Tiền cầu lông 07/06 (xem sheet trc)</t>
  </si>
  <si>
    <t>Tiền sân cầu lông 07/06</t>
  </si>
  <si>
    <t>Toàn và Tú | Tiền quấn cán vợt</t>
  </si>
  <si>
    <t>Trường và Tú | Tiền tất cầu lông</t>
  </si>
  <si>
    <t>Dư nợ update tới 24/05</t>
  </si>
  <si>
    <t>Toàn và Trường | Tiền vim</t>
  </si>
  <si>
    <t>Quân và Trường | Tiền xôi</t>
  </si>
  <si>
    <t xml:space="preserve">Quân và Trường | Tiền đánh cầu 13/06 </t>
  </si>
  <si>
    <t>Tiền cầu ( 3 quả) 07/06</t>
  </si>
  <si>
    <t xml:space="preserve">Quân, Trường, Tú | Tiền cơm rang </t>
  </si>
  <si>
    <t>Toàn và Quân | Tiền đánh cầu vl + nc</t>
  </si>
  <si>
    <t>Tiến + Hòa</t>
  </si>
  <si>
    <t>Đi đánh cầu lông 24/05</t>
  </si>
  <si>
    <t>Tiền đá lạnh + cốc nhựa</t>
  </si>
  <si>
    <t>[1]</t>
  </si>
  <si>
    <t>Tiền Boost chia đều nhé, còn tiến nước khoáng thì tính cho t, Trường, Tú.</t>
  </si>
  <si>
    <t>Tiền nước Revice (8 chai)</t>
  </si>
  <si>
    <t>Đi ăn trưa 24/05</t>
  </si>
  <si>
    <t>Đi ăn chè 23/05</t>
  </si>
  <si>
    <t>Tiền mua thùng đá giữ nhiệt</t>
  </si>
  <si>
    <t>Toàn và Tiến hôm 30/05</t>
  </si>
  <si>
    <t xml:space="preserve">Tiền sân cầu lông 30/05 </t>
  </si>
  <si>
    <t>Tiền mua thùng đá giữ nhiệt chia đều cho 7 người trong nhóm mess thôi nhé mọi người.</t>
  </si>
  <si>
    <t>Tiền cầu (3 quả) 30/05</t>
  </si>
  <si>
    <t>Tiền nước Revice ( 2 chai)</t>
  </si>
  <si>
    <t>Tổng chi phí phát sinh</t>
  </si>
  <si>
    <t xml:space="preserve">Ăn lẩu 30/5 </t>
  </si>
  <si>
    <t>Done</t>
  </si>
  <si>
    <t>Dư nợ update tới 17/05</t>
  </si>
  <si>
    <t>(Done)</t>
  </si>
  <si>
    <t>Tổng chi</t>
  </si>
  <si>
    <t>Tổng nợ</t>
  </si>
  <si>
    <t>Số tiền</t>
  </si>
  <si>
    <t>None</t>
  </si>
  <si>
    <t>Thủy</t>
  </si>
  <si>
    <t>Ăn mỳ chua cay 17/05</t>
  </si>
  <si>
    <t>Ok</t>
  </si>
  <si>
    <t>Chuyển cho Tú</t>
  </si>
  <si>
    <t>Chuyển cho Băng</t>
  </si>
  <si>
    <t>Cầu lông</t>
  </si>
  <si>
    <t xml:space="preserve">Total </t>
  </si>
  <si>
    <t>Ăn lẩu 15/05</t>
  </si>
  <si>
    <t>Paid by</t>
  </si>
  <si>
    <t>Note</t>
  </si>
  <si>
    <t>Chi tiêu</t>
  </si>
  <si>
    <t>Ăn lẩu 16/05</t>
  </si>
  <si>
    <t>Tiền sân cầu lông</t>
  </si>
  <si>
    <t>1h đầu</t>
  </si>
  <si>
    <t>Cầu lông 17/05</t>
  </si>
  <si>
    <t>Tiền cầu (2 quả)</t>
  </si>
  <si>
    <t xml:space="preserve">Tiền sân cầu lông 24/05 </t>
  </si>
  <si>
    <t xml:space="preserve">Tiền cầu </t>
  </si>
  <si>
    <t>Thanh toán</t>
  </si>
  <si>
    <t>1h sau</t>
  </si>
  <si>
    <t>net off sau</t>
  </si>
  <si>
    <t>Tiền cầu ( 3 quả) 24/05</t>
  </si>
  <si>
    <t>Tiền nước Revice (5 chai)</t>
  </si>
  <si>
    <t>Tính gộp vào 2/5</t>
  </si>
  <si>
    <t>Tính riêng</t>
  </si>
  <si>
    <t>Tiền ăn uống 24/05</t>
  </si>
  <si>
    <t>Tiền nước</t>
  </si>
  <si>
    <t>Tiền nước Revice</t>
  </si>
  <si>
    <t>Xem ở sheet 27/4</t>
  </si>
  <si>
    <t xml:space="preserve">Bù trừ 27/4 </t>
  </si>
  <si>
    <t>Xiên nướng + trà đá</t>
  </si>
  <si>
    <t>Tiền ăn sáng + cafe</t>
  </si>
  <si>
    <t>Tiền ăn chè 23/05</t>
  </si>
  <si>
    <t>Tiền sân cầu lông 17/05</t>
  </si>
  <si>
    <t>Bù trừ tiền cầu lông CN</t>
  </si>
  <si>
    <t>Bù trừ tiền bó gối</t>
  </si>
  <si>
    <t xml:space="preserve">Tiền ăn </t>
  </si>
  <si>
    <t>Phương Uyên</t>
  </si>
  <si>
    <t>Tiền cầu (2 quả) 17/05</t>
  </si>
  <si>
    <t>Tiền nước Revice 17/05</t>
  </si>
  <si>
    <t>Chia đều</t>
  </si>
  <si>
    <t>Tiền ăn lẩu 16/05</t>
  </si>
  <si>
    <t>Đi ăn + đi hồ</t>
  </si>
  <si>
    <t>Net off vào cl CN</t>
  </si>
  <si>
    <t>Tiền ăn lẩu 16/05 (rau)</t>
  </si>
  <si>
    <t>Tiền ăn lẩu 15/05</t>
  </si>
  <si>
    <t>Tiền đá lạnh 15/05</t>
  </si>
  <si>
    <t>Tiến mời Tú</t>
  </si>
  <si>
    <t>Tiền ăn mỳ chua cay 17/05</t>
  </si>
  <si>
    <t>Tiền cầu (4 quả)</t>
  </si>
  <si>
    <t>Bù trừ nợ giữa Băng, Tiến, Kiên</t>
  </si>
  <si>
    <t>Tiền ăn ramen</t>
  </si>
  <si>
    <t>Tiền nước HVQ</t>
  </si>
  <si>
    <t>Bù trừ nợ đợt trước B và 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</si>
</sst>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b/>
      <color theme="1"/>
      <name val="Times New Roman"/>
    </font>
    <font>
      <b/>
      <sz val="11.0"/>
      <color theme="1"/>
      <name val="Times New Roman"/>
    </font>
    <font/>
    <font>
      <b/>
      <sz val="11.0"/>
      <color rgb="FFFFFFFF"/>
      <name val="Times New Roman"/>
    </font>
    <font>
      <b/>
      <i/>
      <sz val="9.0"/>
      <color rgb="FF990000"/>
      <name val="Times New Roman"/>
    </font>
    <font>
      <b/>
      <sz val="9.0"/>
      <color rgb="FFFFFFFF"/>
      <name val="Times New Roman"/>
    </font>
    <font>
      <i/>
      <color theme="1"/>
      <name val="Times New Roman"/>
    </font>
    <font>
      <b/>
      <color rgb="FFFF0000"/>
      <name val="Times New Roman"/>
    </font>
    <font>
      <b/>
      <color rgb="FF274E13"/>
      <name val="Times New Roman"/>
    </font>
    <font>
      <b/>
      <sz val="9.0"/>
      <color theme="1"/>
      <name val="Times New Roman"/>
    </font>
    <font>
      <b/>
      <sz val="9.0"/>
      <color rgb="FF274E13"/>
      <name val="Times New Roman"/>
    </font>
    <font>
      <b/>
      <color rgb="FF000000"/>
      <name val="Times New Roman"/>
    </font>
    <font>
      <i/>
      <color rgb="FF000000"/>
      <name val="Times New Roman"/>
    </font>
    <font>
      <b/>
      <color rgb="FFFFFFFF"/>
      <name val="Times New Roman"/>
    </font>
    <font>
      <b/>
      <sz val="9.0"/>
      <color rgb="FFFF0000"/>
      <name val="Times New Roman"/>
    </font>
    <font>
      <b/>
      <sz val="11.0"/>
      <color rgb="FF000000"/>
      <name val="Times New Roman"/>
    </font>
    <font>
      <b/>
      <i/>
      <u/>
      <sz val="11.0"/>
      <color rgb="FF000000"/>
      <name val="Times New Roman"/>
    </font>
    <font>
      <u/>
      <color theme="1"/>
      <name val="Times New Roman"/>
    </font>
    <font>
      <b/>
      <u/>
      <color theme="1"/>
      <name val="Times New Roman"/>
    </font>
    <font>
      <color rgb="FF000000"/>
      <name val="Times New Roman"/>
    </font>
    <font>
      <b/>
      <color rgb="FFB45F06"/>
      <name val="Times New Roman"/>
    </font>
    <font>
      <b/>
      <color rgb="FF990000"/>
      <name val="Times New Roman"/>
    </font>
    <font>
      <i/>
      <u/>
      <sz val="11.0"/>
      <color rgb="FF000000"/>
      <name val="Times New Roman"/>
    </font>
    <font>
      <b/>
      <i/>
      <color rgb="FFFF0000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0C343D"/>
        <bgColor rgb="FF0C343D"/>
      </patternFill>
    </fill>
    <fill>
      <patternFill patternType="solid">
        <fgColor rgb="FF660000"/>
        <bgColor rgb="FF660000"/>
      </patternFill>
    </fill>
    <fill>
      <patternFill patternType="solid">
        <fgColor rgb="FFE6B8AF"/>
        <bgColor rgb="FFE6B8AF"/>
      </patternFill>
    </fill>
    <fill>
      <patternFill patternType="solid">
        <fgColor rgb="FF990000"/>
        <bgColor rgb="FF9900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3" xfId="0" applyFill="1" applyFont="1" applyNumberFormat="1"/>
    <xf borderId="0" fillId="2" fontId="2" numFmtId="3" xfId="0" applyAlignment="1" applyFill="1" applyFont="1" applyNumberFormat="1">
      <alignment readingOrder="0"/>
    </xf>
    <xf borderId="0" fillId="3" fontId="3" numFmtId="3" xfId="0" applyAlignment="1" applyFill="1" applyFont="1" applyNumberFormat="1">
      <alignment horizontal="center" readingOrder="0"/>
    </xf>
    <xf borderId="0" fillId="3" fontId="2" numFmtId="3" xfId="0" applyFill="1" applyFont="1" applyNumberFormat="1"/>
    <xf borderId="1" fillId="4" fontId="4" numFmtId="3" xfId="0" applyAlignment="1" applyBorder="1" applyFill="1" applyFont="1" applyNumberFormat="1">
      <alignment horizontal="center" readingOrder="0" vertical="center"/>
    </xf>
    <xf borderId="2" fillId="0" fontId="5" numFmtId="0" xfId="0" applyBorder="1" applyFont="1"/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0" fillId="5" fontId="3" numFmtId="3" xfId="0" applyAlignment="1" applyFill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3" fontId="3" numFmtId="3" xfId="0" applyAlignment="1" applyFill="1" applyFont="1" applyNumberFormat="1">
      <alignment readingOrder="0"/>
    </xf>
    <xf borderId="3" fillId="6" fontId="6" numFmtId="3" xfId="0" applyAlignment="1" applyBorder="1" applyFill="1" applyFont="1" applyNumberFormat="1">
      <alignment readingOrder="0" vertical="center"/>
    </xf>
    <xf borderId="4" fillId="0" fontId="5" numFmtId="0" xfId="0" applyBorder="1" applyFont="1"/>
    <xf borderId="5" fillId="0" fontId="5" numFmtId="0" xfId="0" applyBorder="1" applyFont="1"/>
    <xf borderId="0" fillId="2" fontId="2" numFmtId="3" xfId="0" applyAlignment="1" applyFill="1" applyFont="1" applyNumberFormat="1">
      <alignment vertical="center"/>
    </xf>
    <xf borderId="0" fillId="3" fontId="2" numFmtId="3" xfId="0" applyAlignment="1" applyFill="1" applyFont="1" applyNumberFormat="1">
      <alignment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vertical="center"/>
    </xf>
    <xf borderId="0" fillId="3" fontId="7" numFmtId="3" xfId="0" applyAlignment="1" applyFill="1" applyFont="1" applyNumberFormat="1">
      <alignment readingOrder="0" vertical="center"/>
    </xf>
    <xf borderId="0" fillId="3" fontId="3" numFmtId="3" xfId="0" applyAlignment="1" applyFill="1" applyFont="1" applyNumberFormat="1">
      <alignment horizontal="center" readingOrder="0" vertical="center"/>
    </xf>
    <xf borderId="3" fillId="7" fontId="8" numFmtId="49" xfId="0" applyAlignment="1" applyBorder="1" applyFill="1" applyFont="1" applyNumberFormat="1">
      <alignment horizontal="left" readingOrder="0" vertical="center"/>
    </xf>
    <xf borderId="0" fillId="3" fontId="3" numFmtId="3" xfId="0" applyAlignment="1" applyFill="1" applyFont="1" applyNumberFormat="1">
      <alignment readingOrder="0" vertical="center"/>
    </xf>
    <xf borderId="0" fillId="8" fontId="3" numFmtId="3" xfId="0" applyAlignment="1" applyFill="1" applyFont="1" applyNumberFormat="1">
      <alignment horizontal="center" readingOrder="0" vertical="center"/>
    </xf>
    <xf borderId="0" fillId="8" fontId="9" numFmtId="3" xfId="0" applyAlignment="1" applyFill="1" applyFont="1" applyNumberFormat="1">
      <alignment horizontal="center" readingOrder="0" vertical="center"/>
    </xf>
    <xf borderId="6" fillId="9" fontId="8" numFmtId="49" xfId="0" applyAlignment="1" applyBorder="1" applyFill="1" applyFont="1" applyNumberFormat="1">
      <alignment horizontal="left" readingOrder="0" vertical="center"/>
    </xf>
    <xf borderId="3" fillId="9" fontId="8" numFmtId="3" xfId="0" applyAlignment="1" applyBorder="1" applyFill="1" applyFont="1" applyNumberFormat="1">
      <alignment readingOrder="0" vertical="center"/>
    </xf>
    <xf borderId="6" fillId="10" fontId="3" numFmtId="3" xfId="0" applyAlignment="1" applyBorder="1" applyFill="1" applyFont="1" applyNumberFormat="1">
      <alignment readingOrder="0" vertical="center"/>
    </xf>
    <xf borderId="6" fillId="10" fontId="3" numFmtId="3" xfId="0" applyAlignment="1" applyBorder="1" applyFill="1" applyFont="1" applyNumberFormat="1">
      <alignment horizontal="center" readingOrder="0" vertical="center"/>
    </xf>
    <xf borderId="6" fillId="3" fontId="2" numFmtId="3" xfId="0" applyAlignment="1" applyBorder="1" applyFill="1" applyFont="1" applyNumberFormat="1">
      <alignment horizontal="left" readingOrder="0" vertical="center"/>
    </xf>
    <xf borderId="3" fillId="3" fontId="2" numFmtId="3" xfId="0" applyAlignment="1" applyBorder="1" applyFill="1" applyFont="1" applyNumberFormat="1">
      <alignment horizontal="left" readingOrder="0" vertical="center"/>
    </xf>
    <xf borderId="0" fillId="0" fontId="2" numFmtId="3" xfId="0" applyAlignment="1" applyFont="1" applyNumberFormat="1">
      <alignment readingOrder="0" vertical="center"/>
    </xf>
    <xf borderId="6" fillId="0" fontId="2" numFmtId="3" xfId="0" applyAlignment="1" applyBorder="1" applyFont="1" applyNumberFormat="1">
      <alignment readingOrder="0" vertical="center"/>
    </xf>
    <xf borderId="6" fillId="0" fontId="2" numFmtId="3" xfId="0" applyAlignment="1" applyBorder="1" applyFont="1" applyNumberFormat="1">
      <alignment vertical="center"/>
    </xf>
    <xf borderId="0" fillId="3" fontId="2" numFmtId="3" xfId="0" applyAlignment="1" applyFill="1" applyFont="1" applyNumberFormat="1">
      <alignment horizontal="left" readingOrder="0" vertical="center"/>
    </xf>
    <xf borderId="0" fillId="0" fontId="10" numFmtId="3" xfId="0" applyAlignment="1" applyFont="1" applyNumberFormat="1">
      <alignment readingOrder="0" vertical="center"/>
    </xf>
    <xf borderId="6" fillId="3" fontId="2" numFmtId="3" xfId="0" applyAlignment="1" applyBorder="1" applyFill="1" applyFont="1" applyNumberFormat="1">
      <alignment readingOrder="0" vertical="center"/>
    </xf>
    <xf borderId="6" fillId="3" fontId="2" numFmtId="3" xfId="0" applyAlignment="1" applyBorder="1" applyFill="1" applyFont="1" applyNumberFormat="1">
      <alignment horizontal="right" vertical="center"/>
    </xf>
    <xf borderId="6" fillId="11" fontId="3" numFmtId="3" xfId="0" applyAlignment="1" applyBorder="1" applyFill="1" applyFont="1" applyNumberFormat="1">
      <alignment readingOrder="0" vertical="center"/>
    </xf>
    <xf borderId="6" fillId="11" fontId="3" numFmtId="3" xfId="0" applyAlignment="1" applyBorder="1" applyFill="1" applyFont="1" applyNumberFormat="1">
      <alignment horizontal="right" vertical="center"/>
    </xf>
    <xf borderId="0" fillId="2" fontId="2" numFmtId="3" xfId="0" applyAlignment="1" applyFill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3" fontId="3" numFmtId="3" xfId="0" applyAlignment="1" applyFill="1" applyFont="1" applyNumberFormat="1">
      <alignment horizontal="left" readingOrder="0" vertical="center"/>
    </xf>
    <xf borderId="0" fillId="0" fontId="2" numFmtId="3" xfId="0" applyAlignment="1" applyFont="1" applyNumberFormat="1">
      <alignment horizontal="left" readingOrder="0" vertical="center"/>
    </xf>
    <xf borderId="0" fillId="3" fontId="11" numFmtId="3" xfId="0" applyAlignment="1" applyFill="1" applyFont="1" applyNumberFormat="1">
      <alignment horizontal="right" readingOrder="0" vertical="center"/>
    </xf>
    <xf borderId="6" fillId="0" fontId="12" numFmtId="3" xfId="0" applyAlignment="1" applyBorder="1" applyFont="1" applyNumberFormat="1">
      <alignment horizontal="left" readingOrder="0" vertical="center"/>
    </xf>
    <xf borderId="6" fillId="3" fontId="13" numFmtId="3" xfId="0" applyAlignment="1" applyBorder="1" applyFill="1" applyFont="1" applyNumberFormat="1">
      <alignment horizontal="right" readingOrder="0" vertical="center"/>
    </xf>
    <xf borderId="0" fillId="2" fontId="10" numFmtId="3" xfId="0" applyAlignment="1" applyFill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4" numFmtId="3" xfId="0" applyAlignment="1" applyFont="1" applyNumberFormat="1">
      <alignment horizontal="left" readingOrder="0" vertical="center"/>
    </xf>
    <xf borderId="0" fillId="0" fontId="14" numFmtId="3" xfId="0" applyAlignment="1" applyFont="1" applyNumberFormat="1">
      <alignment horizontal="center" readingOrder="0" vertical="center"/>
    </xf>
    <xf borderId="0" fillId="0" fontId="15" numFmtId="3" xfId="0" applyAlignment="1" applyFont="1" applyNumberFormat="1">
      <alignment horizontal="left" readingOrder="0" vertical="center"/>
    </xf>
    <xf borderId="0" fillId="12" fontId="15" numFmtId="3" xfId="0" applyAlignment="1" applyFill="1" applyFont="1" applyNumberFormat="1">
      <alignment horizontal="right" readingOrder="0" vertical="center"/>
    </xf>
    <xf borderId="0" fillId="0" fontId="15" numFmtId="3" xfId="0" applyAlignment="1" applyFont="1" applyNumberFormat="1">
      <alignment horizontal="right" readingOrder="0" vertical="center"/>
    </xf>
    <xf borderId="7" fillId="0" fontId="3" numFmtId="3" xfId="0" applyAlignment="1" applyBorder="1" applyFont="1" applyNumberFormat="1">
      <alignment vertical="center"/>
    </xf>
    <xf borderId="0" fillId="2" fontId="3" numFmtId="3" xfId="0" applyAlignment="1" applyFill="1" applyFont="1" applyNumberFormat="1">
      <alignment horizontal="right" readingOrder="0" vertical="center"/>
    </xf>
    <xf borderId="0" fillId="0" fontId="3" numFmtId="3" xfId="0" applyAlignment="1" applyFont="1" applyNumberFormat="1">
      <alignment horizontal="right" readingOrder="0" vertical="center"/>
    </xf>
    <xf borderId="0" fillId="3" fontId="16" numFmtId="3" xfId="0" applyAlignment="1" applyFill="1" applyFont="1" applyNumberFormat="1">
      <alignment horizontal="left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3" fontId="17" numFmtId="3" xfId="0" applyAlignment="1" applyFill="1" applyFont="1" applyNumberFormat="1">
      <alignment horizontal="left" readingOrder="0" vertical="center"/>
    </xf>
    <xf borderId="0" fillId="3" fontId="17" numFmtId="3" xfId="0" applyAlignment="1" applyFill="1" applyFont="1" applyNumberFormat="1">
      <alignment horizontal="right" readingOrder="0" vertical="center"/>
    </xf>
    <xf borderId="0" fillId="2" fontId="3" numFmtId="3" xfId="0" applyAlignment="1" applyFill="1" applyFont="1" applyNumberFormat="1">
      <alignment horizontal="right" readingOrder="0"/>
    </xf>
    <xf borderId="0" fillId="0" fontId="3" numFmtId="3" xfId="0" applyAlignment="1" applyFont="1" applyNumberFormat="1">
      <alignment horizontal="right" readingOrder="0"/>
    </xf>
    <xf borderId="0" fillId="13" fontId="16" numFmtId="3" xfId="0" applyAlignment="1" applyFill="1" applyFont="1" applyNumberFormat="1">
      <alignment horizontal="left" readingOrder="0" vertical="center"/>
    </xf>
    <xf borderId="0" fillId="13" fontId="6" numFmtId="3" xfId="0" applyAlignment="1" applyFill="1" applyFont="1" applyNumberFormat="1">
      <alignment horizontal="left" readingOrder="0" vertical="center"/>
    </xf>
    <xf borderId="0" fillId="13" fontId="18" numFmtId="3" xfId="0" applyAlignment="1" applyFill="1" applyFont="1" applyNumberFormat="1">
      <alignment horizontal="left" vertical="center"/>
    </xf>
    <xf borderId="0" fillId="3" fontId="19" numFmtId="3" xfId="0" applyAlignment="1" applyFill="1" applyFont="1" applyNumberFormat="1">
      <alignment horizontal="left" readingOrder="0" vertical="center"/>
    </xf>
    <xf borderId="0" fillId="0" fontId="2" numFmtId="3" xfId="0" applyAlignment="1" applyFont="1" applyNumberFormat="1">
      <alignment horizontal="center" readingOrder="0"/>
    </xf>
    <xf borderId="0" fillId="3" fontId="6" numFmtId="3" xfId="0" applyAlignment="1" applyFill="1" applyFont="1" applyNumberFormat="1">
      <alignment horizontal="left" readingOrder="0" vertical="center"/>
    </xf>
    <xf borderId="0" fillId="3" fontId="18" numFmtId="3" xfId="0" applyAlignment="1" applyFill="1" applyFont="1" applyNumberFormat="1">
      <alignment horizontal="left" vertical="center"/>
    </xf>
    <xf borderId="0" fillId="14" fontId="6" numFmtId="3" xfId="0" applyAlignment="1" applyFill="1" applyFont="1" applyNumberFormat="1">
      <alignment horizontal="left" readingOrder="0" vertical="center"/>
    </xf>
    <xf borderId="3" fillId="15" fontId="6" numFmtId="3" xfId="0" applyAlignment="1" applyBorder="1" applyFill="1" applyFont="1" applyNumberFormat="1">
      <alignment horizontal="left" readingOrder="0" vertical="center"/>
    </xf>
    <xf borderId="0" fillId="3" fontId="3" numFmtId="3" xfId="0" applyAlignment="1" applyFill="1" applyFont="1" applyNumberFormat="1">
      <alignment horizontal="right" readingOrder="0" vertical="center"/>
    </xf>
    <xf borderId="0" fillId="3" fontId="14" numFmtId="3" xfId="0" applyAlignment="1" applyFill="1" applyFont="1" applyNumberFormat="1">
      <alignment horizontal="right" readingOrder="0" vertical="center"/>
    </xf>
    <xf borderId="0" fillId="3" fontId="2" numFmtId="3" xfId="0" applyAlignment="1" applyFill="1" applyFont="1" applyNumberFormat="1">
      <alignment horizontal="center" readingOrder="0" vertical="center"/>
    </xf>
    <xf borderId="6" fillId="16" fontId="3" numFmtId="3" xfId="0" applyAlignment="1" applyBorder="1" applyFill="1" applyFont="1" applyNumberFormat="1">
      <alignment horizontal="right" readingOrder="0" vertical="center"/>
    </xf>
    <xf borderId="6" fillId="16" fontId="14" numFmtId="3" xfId="0" applyAlignment="1" applyBorder="1" applyFill="1" applyFont="1" applyNumberFormat="1">
      <alignment horizontal="right" readingOrder="0" vertical="center"/>
    </xf>
    <xf borderId="0" fillId="0" fontId="20" numFmtId="3" xfId="0" applyAlignment="1" applyFont="1" applyNumberFormat="1">
      <alignment horizontal="center" readingOrder="0" vertical="center"/>
    </xf>
    <xf borderId="0" fillId="0" fontId="21" numFmtId="3" xfId="0" applyAlignment="1" applyFont="1" applyNumberFormat="1">
      <alignment horizontal="center" readingOrder="0" vertical="center"/>
    </xf>
    <xf borderId="0" fillId="2" fontId="2" numFmtId="3" xfId="0" applyAlignment="1" applyFill="1" applyFont="1" applyNumberFormat="1">
      <alignment horizontal="right" readingOrder="0" vertical="center"/>
    </xf>
    <xf borderId="0" fillId="0" fontId="2" numFmtId="3" xfId="0" applyAlignment="1" applyFont="1" applyNumberFormat="1">
      <alignment horizontal="right" readingOrder="0" vertical="center"/>
    </xf>
    <xf borderId="0" fillId="0" fontId="22" numFmtId="3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horizontal="center" readingOrder="0" vertical="center"/>
    </xf>
    <xf borderId="0" fillId="0" fontId="23" numFmtId="3" xfId="0" applyAlignment="1" applyFont="1" applyNumberFormat="1">
      <alignment readingOrder="0" vertical="center"/>
    </xf>
    <xf borderId="0" fillId="3" fontId="2" numFmtId="3" xfId="0" applyAlignment="1" applyFill="1" applyFont="1" applyNumberFormat="1">
      <alignment readingOrder="0" vertical="center"/>
    </xf>
    <xf borderId="6" fillId="0" fontId="2" numFmtId="3" xfId="0" applyAlignment="1" applyBorder="1" applyFont="1" applyNumberFormat="1">
      <alignment horizontal="right" readingOrder="0" vertical="center"/>
    </xf>
    <xf borderId="6" fillId="0" fontId="22" numFmtId="3" xfId="0" applyAlignment="1" applyBorder="1" applyFont="1" applyNumberFormat="1">
      <alignment horizontal="right" readingOrder="0" vertical="center"/>
    </xf>
    <xf borderId="6" fillId="10" fontId="2" numFmtId="3" xfId="0" applyAlignment="1" applyBorder="1" applyFill="1" applyFont="1" applyNumberFormat="1">
      <alignment readingOrder="0" vertical="center"/>
    </xf>
    <xf borderId="0" fillId="3" fontId="8" numFmtId="3" xfId="0" applyAlignment="1" applyFill="1" applyFont="1" applyNumberFormat="1">
      <alignment readingOrder="0" vertical="center"/>
    </xf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readingOrder="0"/>
    </xf>
    <xf borderId="8" fillId="9" fontId="8" numFmtId="3" xfId="0" applyAlignment="1" applyBorder="1" applyFill="1" applyFont="1" applyNumberFormat="1">
      <alignment horizontal="center" readingOrder="0" vertical="center"/>
    </xf>
    <xf borderId="9" fillId="17" fontId="24" numFmtId="3" xfId="0" applyAlignment="1" applyBorder="1" applyFill="1" applyFont="1" applyNumberFormat="1">
      <alignment horizontal="center" readingOrder="0" vertical="center"/>
    </xf>
    <xf borderId="10" fillId="17" fontId="2" numFmtId="3" xfId="0" applyAlignment="1" applyBorder="1" applyFill="1" applyFont="1" applyNumberFormat="1">
      <alignment readingOrder="0" vertical="center"/>
    </xf>
    <xf borderId="10" fillId="17" fontId="2" numFmtId="3" xfId="0" applyAlignment="1" applyBorder="1" applyFill="1" applyFont="1" applyNumberFormat="1">
      <alignment vertical="center"/>
    </xf>
    <xf borderId="11" fillId="17" fontId="2" numFmtId="3" xfId="0" applyAlignment="1" applyBorder="1" applyFill="1" applyFont="1" applyNumberFormat="1">
      <alignment vertical="center"/>
    </xf>
    <xf borderId="0" fillId="17" fontId="2" numFmtId="3" xfId="0" applyAlignment="1" applyFill="1" applyFont="1" applyNumberFormat="1">
      <alignment readingOrder="0" vertical="center"/>
    </xf>
    <xf borderId="0" fillId="17" fontId="2" numFmtId="3" xfId="0" applyAlignment="1" applyFill="1" applyFont="1" applyNumberFormat="1">
      <alignment vertical="center"/>
    </xf>
    <xf borderId="12" fillId="17" fontId="2" numFmtId="3" xfId="0" applyAlignment="1" applyBorder="1" applyFill="1" applyFont="1" applyNumberFormat="1">
      <alignment vertical="center"/>
    </xf>
    <xf borderId="13" fillId="17" fontId="2" numFmtId="3" xfId="0" applyAlignment="1" applyBorder="1" applyFill="1" applyFont="1" applyNumberFormat="1">
      <alignment vertical="center"/>
    </xf>
    <xf borderId="14" fillId="17" fontId="2" numFmtId="3" xfId="0" applyAlignment="1" applyBorder="1" applyFill="1" applyFont="1" applyNumberFormat="1">
      <alignment vertical="center"/>
    </xf>
    <xf borderId="15" fillId="17" fontId="2" numFmtId="3" xfId="0" applyAlignment="1" applyBorder="1" applyFill="1" applyFont="1" applyNumberFormat="1">
      <alignment vertical="center"/>
    </xf>
    <xf borderId="0" fillId="7" fontId="8" numFmtId="49" xfId="0" applyAlignment="1" applyFill="1" applyFont="1" applyNumberFormat="1">
      <alignment horizontal="left" readingOrder="0" vertical="center"/>
    </xf>
    <xf borderId="16" fillId="17" fontId="2" numFmtId="3" xfId="0" applyAlignment="1" applyBorder="1" applyFill="1" applyFont="1" applyNumberFormat="1">
      <alignment vertical="center"/>
    </xf>
    <xf borderId="17" fillId="17" fontId="2" numFmtId="3" xfId="0" applyAlignment="1" applyBorder="1" applyFill="1" applyFont="1" applyNumberFormat="1">
      <alignment vertical="center"/>
    </xf>
    <xf borderId="18" fillId="17" fontId="2" numFmtId="3" xfId="0" applyAlignment="1" applyBorder="1" applyFill="1" applyFont="1" applyNumberFormat="1">
      <alignment vertical="center"/>
    </xf>
    <xf borderId="0" fillId="0" fontId="15" numFmtId="3" xfId="0" applyAlignment="1" applyFont="1" applyNumberFormat="1">
      <alignment horizontal="right" vertical="center"/>
    </xf>
    <xf borderId="6" fillId="0" fontId="24" numFmtId="3" xfId="0" applyAlignment="1" applyBorder="1" applyFont="1" applyNumberFormat="1">
      <alignment horizontal="center" readingOrder="0" vertical="center"/>
    </xf>
    <xf borderId="0" fillId="0" fontId="24" numFmtId="3" xfId="0" applyAlignment="1" applyFont="1" applyNumberFormat="1">
      <alignment horizontal="center" readingOrder="0" vertical="center"/>
    </xf>
    <xf borderId="9" fillId="0" fontId="24" numFmtId="3" xfId="0" applyAlignment="1" applyBorder="1" applyFont="1" applyNumberFormat="1">
      <alignment horizontal="center" readingOrder="0" vertical="center"/>
    </xf>
    <xf borderId="10" fillId="0" fontId="2" numFmtId="3" xfId="0" applyAlignment="1" applyBorder="1" applyFont="1" applyNumberFormat="1">
      <alignment readingOrder="0" vertical="center"/>
    </xf>
    <xf borderId="10" fillId="0" fontId="2" numFmtId="3" xfId="0" applyAlignment="1" applyBorder="1" applyFont="1" applyNumberFormat="1">
      <alignment vertical="center"/>
    </xf>
    <xf borderId="16" fillId="0" fontId="2" numFmtId="3" xfId="0" applyAlignment="1" applyBorder="1" applyFont="1" applyNumberFormat="1">
      <alignment vertical="center"/>
    </xf>
    <xf borderId="17" fillId="0" fontId="2" numFmtId="3" xfId="0" applyAlignment="1" applyBorder="1" applyFont="1" applyNumberFormat="1">
      <alignment vertical="center"/>
    </xf>
    <xf borderId="13" fillId="0" fontId="2" numFmtId="3" xfId="0" applyAlignment="1" applyBorder="1" applyFont="1" applyNumberFormat="1">
      <alignment vertical="center"/>
    </xf>
    <xf borderId="14" fillId="0" fontId="2" numFmtId="3" xfId="0" applyAlignment="1" applyBorder="1" applyFont="1" applyNumberFormat="1">
      <alignment vertical="center"/>
    </xf>
    <xf borderId="18" fillId="0" fontId="2" numFmtId="3" xfId="0" applyAlignment="1" applyBorder="1" applyFont="1" applyNumberFormat="1">
      <alignment vertical="center"/>
    </xf>
    <xf borderId="9" fillId="0" fontId="24" numFmtId="3" xfId="0" applyAlignment="1" applyBorder="1" applyFont="1" applyNumberFormat="1">
      <alignment horizontal="center" vertical="center"/>
    </xf>
    <xf borderId="0" fillId="4" fontId="3" numFmtId="3" xfId="0" applyAlignment="1" applyFill="1" applyFont="1" applyNumberFormat="1">
      <alignment horizontal="center" readingOrder="0"/>
    </xf>
    <xf borderId="6" fillId="10" fontId="3" numFmtId="3" xfId="0" applyBorder="1" applyFill="1" applyFont="1" applyNumberFormat="1"/>
    <xf borderId="6" fillId="10" fontId="3" numFmtId="3" xfId="0" applyAlignment="1" applyBorder="1" applyFill="1" applyFont="1" applyNumberFormat="1">
      <alignment horizontal="center" readingOrder="0"/>
    </xf>
    <xf borderId="6" fillId="0" fontId="2" numFmtId="3" xfId="0" applyAlignment="1" applyBorder="1" applyFont="1" applyNumberFormat="1">
      <alignment readingOrder="0"/>
    </xf>
    <xf borderId="6" fillId="0" fontId="2" numFmtId="3" xfId="0" applyBorder="1" applyFont="1" applyNumberFormat="1"/>
    <xf borderId="0" fillId="0" fontId="10" numFmtId="3" xfId="0" applyAlignment="1" applyFont="1" applyNumberFormat="1">
      <alignment readingOrder="0"/>
    </xf>
    <xf borderId="6" fillId="11" fontId="3" numFmtId="3" xfId="0" applyAlignment="1" applyBorder="1" applyFill="1" applyFont="1" applyNumberFormat="1">
      <alignment readingOrder="0"/>
    </xf>
    <xf borderId="6" fillId="11" fontId="3" numFmtId="3" xfId="0" applyBorder="1" applyFill="1" applyFont="1" applyNumberFormat="1"/>
    <xf borderId="0" fillId="2" fontId="2" numFmtId="3" xfId="0" applyAlignment="1" applyFill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3" fontId="3" numFmtId="3" xfId="0" applyAlignment="1" applyFill="1" applyFont="1" applyNumberFormat="1">
      <alignment horizontal="left" readingOrder="0"/>
    </xf>
    <xf borderId="6" fillId="3" fontId="3" numFmtId="3" xfId="0" applyAlignment="1" applyBorder="1" applyFill="1" applyFont="1" applyNumberFormat="1">
      <alignment horizontal="left" readingOrder="0" vertical="center"/>
    </xf>
    <xf borderId="6" fillId="0" fontId="2" numFmtId="3" xfId="0" applyAlignment="1" applyBorder="1" applyFont="1" applyNumberFormat="1">
      <alignment horizontal="center"/>
    </xf>
    <xf borderId="3" fillId="3" fontId="2" numFmtId="3" xfId="0" applyAlignment="1" applyBorder="1" applyFill="1" applyFont="1" applyNumberFormat="1">
      <alignment readingOrder="0" vertical="center"/>
    </xf>
    <xf borderId="0" fillId="3" fontId="25" numFmtId="3" xfId="0" applyAlignment="1" applyFill="1" applyFont="1" applyNumberFormat="1">
      <alignment horizontal="left" readingOrder="0" vertical="center"/>
    </xf>
    <xf borderId="6" fillId="3" fontId="11" numFmtId="3" xfId="0" applyAlignment="1" applyBorder="1" applyFill="1" applyFont="1" applyNumberFormat="1">
      <alignment horizontal="center" readingOrder="0"/>
    </xf>
    <xf borderId="0" fillId="2" fontId="10" numFmtId="3" xfId="0" applyAlignment="1" applyFill="1" applyFont="1" applyNumberFormat="1">
      <alignment horizontal="center"/>
    </xf>
    <xf borderId="0" fillId="0" fontId="10" numFmtId="3" xfId="0" applyAlignment="1" applyFont="1" applyNumberFormat="1">
      <alignment horizontal="center"/>
    </xf>
    <xf borderId="0" fillId="0" fontId="3" numFmtId="3" xfId="0" applyAlignment="1" applyFont="1" applyNumberFormat="1">
      <alignment horizontal="left" readingOrder="0"/>
    </xf>
    <xf borderId="0" fillId="0" fontId="10" numFmtId="3" xfId="0" applyAlignment="1" applyFont="1" applyNumberFormat="1">
      <alignment horizontal="center" readingOrder="0"/>
    </xf>
    <xf borderId="0" fillId="5" fontId="3" numFmtId="3" xfId="0" applyAlignment="1" applyFill="1" applyFont="1" applyNumberFormat="1">
      <alignment readingOrder="0"/>
    </xf>
    <xf borderId="6" fillId="16" fontId="3" numFmtId="3" xfId="0" applyAlignment="1" applyBorder="1" applyFill="1" applyFont="1" applyNumberFormat="1">
      <alignment horizontal="right" readingOrder="0"/>
    </xf>
    <xf borderId="6" fillId="16" fontId="14" numFmtId="3" xfId="0" applyAlignment="1" applyBorder="1" applyFill="1" applyFont="1" applyNumberFormat="1">
      <alignment horizontal="right" readingOrder="0"/>
    </xf>
    <xf borderId="6" fillId="10" fontId="3" numFmtId="3" xfId="0" applyAlignment="1" applyBorder="1" applyFill="1" applyFont="1" applyNumberFormat="1">
      <alignment readingOrder="0"/>
    </xf>
    <xf borderId="0" fillId="2" fontId="2" numFmtId="3" xfId="0" applyAlignment="1" applyFill="1" applyFont="1" applyNumberFormat="1">
      <alignment horizontal="right" readingOrder="0"/>
    </xf>
    <xf borderId="0" fillId="0" fontId="2" numFmtId="3" xfId="0" applyAlignment="1" applyFont="1" applyNumberFormat="1">
      <alignment horizontal="right" readingOrder="0"/>
    </xf>
    <xf borderId="6" fillId="0" fontId="2" numFmtId="3" xfId="0" applyAlignment="1" applyBorder="1" applyFont="1" applyNumberFormat="1">
      <alignment horizontal="right" readingOrder="0"/>
    </xf>
    <xf borderId="6" fillId="0" fontId="22" numFmtId="3" xfId="0" applyAlignment="1" applyBorder="1" applyFont="1" applyNumberFormat="1">
      <alignment horizontal="right" readingOrder="0"/>
    </xf>
    <xf borderId="19" fillId="0" fontId="2" numFmtId="3" xfId="0" applyAlignment="1" applyBorder="1" applyFont="1" applyNumberFormat="1">
      <alignment readingOrder="0" vertical="center"/>
    </xf>
    <xf borderId="0" fillId="0" fontId="22" numFmtId="3" xfId="0" applyAlignment="1" applyFont="1" applyNumberFormat="1">
      <alignment horizontal="left" readingOrder="0" vertical="center"/>
    </xf>
    <xf borderId="0" fillId="12" fontId="22" numFmtId="3" xfId="0" applyAlignment="1" applyFill="1" applyFont="1" applyNumberFormat="1">
      <alignment horizontal="right" readingOrder="0" vertical="center"/>
    </xf>
    <xf borderId="0" fillId="0" fontId="22" numFmtId="3" xfId="0" applyAlignment="1" applyFont="1" applyNumberFormat="1">
      <alignment horizontal="right" vertical="center"/>
    </xf>
    <xf borderId="20" fillId="0" fontId="5" numFmtId="0" xfId="0" applyBorder="1" applyFont="1"/>
    <xf borderId="0" fillId="12" fontId="10" numFmtId="3" xfId="0" applyAlignment="1" applyFill="1" applyFont="1" applyNumberFormat="1">
      <alignment horizontal="center"/>
    </xf>
    <xf borderId="0" fillId="12" fontId="26" numFmtId="3" xfId="0" applyAlignment="1" applyFill="1" applyFont="1" applyNumberFormat="1">
      <alignment horizontal="center" readingOrder="0"/>
    </xf>
    <xf borderId="0" fillId="12" fontId="10" numFmtId="3" xfId="0" applyAlignment="1" applyFill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ê Xuân Toàn" id="{c577219e-3de6-41fd-b634-a81152d7005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7" dT="2026-06-19T10:34:22.00" personId="{c577219e-3de6-41fd-b634-a81152d70057}" id="{2c958128-0c4e-4291-acd5-ba9c98b52c58}" done="0">
    <x18tc:text xml:space="preserve">(+) là cần nhận, (-) là còn nợ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5" dT="2026-05-27T01:25:23.00" personId="{c577219e-3de6-41fd-b634-a81152d70057}" id="{341a838f-2fa8-4d94-887c-68f49b6f0d14}" done="0">
    <x18tc:text xml:space="preserve">Kết chuyển sang đợt sau.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3" max="15" width="11.75"/>
    <col customWidth="1" min="16" max="16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2"/>
    </row>
    <row r="3" ht="16.5" customHeight="1">
      <c r="A3" s="2"/>
      <c r="B3" s="4"/>
      <c r="C3" s="6" t="s">
        <v>0</v>
      </c>
      <c r="D3" s="7"/>
      <c r="E3" s="8"/>
      <c r="F3" s="8"/>
      <c r="G3" s="9" t="s">
        <v>3</v>
      </c>
      <c r="H3" s="10">
        <f t="shared" ref="H3:N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5"/>
      <c r="P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8"/>
      <c r="P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5"/>
      <c r="O5" s="8"/>
      <c r="P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19"/>
      <c r="P6" s="16"/>
    </row>
    <row r="7" ht="15.75" customHeight="1">
      <c r="A7" s="16"/>
      <c r="B7" s="17"/>
      <c r="C7" s="22" t="s">
        <v>6</v>
      </c>
      <c r="D7" s="14"/>
      <c r="E7" s="15"/>
      <c r="F7" s="19"/>
      <c r="G7" s="23"/>
      <c r="H7" s="24"/>
      <c r="I7" s="24"/>
      <c r="J7" s="24"/>
      <c r="K7" s="24"/>
      <c r="L7" s="24"/>
      <c r="M7" s="25"/>
      <c r="N7" s="24"/>
      <c r="O7" s="19"/>
      <c r="P7" s="16"/>
    </row>
    <row r="8" ht="18.0" customHeight="1">
      <c r="A8" s="16"/>
      <c r="B8" s="17"/>
      <c r="C8" s="26" t="s">
        <v>8</v>
      </c>
      <c r="D8" s="27" t="s">
        <v>9</v>
      </c>
      <c r="E8" s="15"/>
      <c r="F8" s="19"/>
      <c r="G8" s="28" t="s">
        <v>10</v>
      </c>
      <c r="H8" s="29" t="s">
        <v>11</v>
      </c>
      <c r="I8" s="29" t="s">
        <v>12</v>
      </c>
      <c r="J8" s="29" t="s">
        <v>13</v>
      </c>
      <c r="K8" s="29" t="s">
        <v>14</v>
      </c>
      <c r="L8" s="29" t="s">
        <v>15</v>
      </c>
      <c r="M8" s="29" t="s">
        <v>18</v>
      </c>
      <c r="N8" s="29" t="s">
        <v>21</v>
      </c>
      <c r="O8" s="19"/>
      <c r="P8" s="16"/>
    </row>
    <row r="9">
      <c r="A9" s="16"/>
      <c r="B9" s="19"/>
      <c r="C9" s="30">
        <v>8.0</v>
      </c>
      <c r="D9" s="31" t="s">
        <v>26</v>
      </c>
      <c r="E9" s="15"/>
      <c r="F9" s="32"/>
      <c r="G9" s="33" t="str">
        <f>C22</f>
        <v>Tổng ứng trước</v>
      </c>
      <c r="H9" s="34">
        <f t="shared" ref="H9:N9" si="2">round(sumif($D:$D,H8,$C:$C),0)</f>
        <v>571667</v>
      </c>
      <c r="I9" s="34">
        <f t="shared" si="2"/>
        <v>85000</v>
      </c>
      <c r="J9" s="34">
        <f t="shared" si="2"/>
        <v>0</v>
      </c>
      <c r="K9" s="34">
        <f t="shared" si="2"/>
        <v>0</v>
      </c>
      <c r="L9" s="34">
        <f t="shared" si="2"/>
        <v>60000</v>
      </c>
      <c r="M9" s="34">
        <f t="shared" si="2"/>
        <v>0</v>
      </c>
      <c r="N9" s="34">
        <f t="shared" si="2"/>
        <v>0</v>
      </c>
      <c r="O9" s="19"/>
      <c r="P9" s="16"/>
    </row>
    <row r="10">
      <c r="A10" s="16"/>
      <c r="B10" s="19"/>
      <c r="C10" s="30">
        <v>7.0</v>
      </c>
      <c r="D10" s="31" t="s">
        <v>29</v>
      </c>
      <c r="E10" s="15"/>
      <c r="F10" s="32"/>
      <c r="G10" s="33" t="str">
        <f>"[-] "&amp;G22</f>
        <v>[-] Tổng chi phí</v>
      </c>
      <c r="H10" s="34">
        <f t="shared" ref="H10:N10" si="3">round(sum(H26:H30),0)</f>
        <v>47381</v>
      </c>
      <c r="I10" s="34">
        <f t="shared" si="3"/>
        <v>176012</v>
      </c>
      <c r="J10" s="34">
        <f t="shared" si="3"/>
        <v>176012</v>
      </c>
      <c r="K10" s="34">
        <f t="shared" si="3"/>
        <v>88006</v>
      </c>
      <c r="L10" s="34">
        <f t="shared" si="3"/>
        <v>88006</v>
      </c>
      <c r="M10" s="34">
        <f t="shared" si="3"/>
        <v>40625</v>
      </c>
      <c r="N10" s="34">
        <f t="shared" si="3"/>
        <v>40625</v>
      </c>
      <c r="O10" s="19"/>
      <c r="P10" s="16"/>
    </row>
    <row r="11">
      <c r="A11" s="16"/>
      <c r="B11" s="19"/>
      <c r="C11" s="35"/>
      <c r="D11" s="35"/>
      <c r="F11" s="36"/>
      <c r="G11" s="37" t="str">
        <f>"[-] "&amp;G33</f>
        <v>[-] Bù trừ nợ đợt trước</v>
      </c>
      <c r="H11" s="38">
        <f t="shared" ref="H11:N11" si="4">Sum(H35:H44)</f>
        <v>65825</v>
      </c>
      <c r="I11" s="38">
        <f t="shared" si="4"/>
        <v>0</v>
      </c>
      <c r="J11" s="38">
        <f t="shared" si="4"/>
        <v>0</v>
      </c>
      <c r="K11" s="38">
        <f t="shared" si="4"/>
        <v>217397</v>
      </c>
      <c r="L11" s="38">
        <f t="shared" si="4"/>
        <v>-283222</v>
      </c>
      <c r="M11" s="38">
        <f t="shared" si="4"/>
        <v>0</v>
      </c>
      <c r="N11" s="38">
        <f t="shared" si="4"/>
        <v>0</v>
      </c>
      <c r="O11" s="19"/>
      <c r="P11" s="16"/>
    </row>
    <row r="12">
      <c r="A12" s="16"/>
      <c r="B12" s="19"/>
      <c r="F12" s="36"/>
      <c r="G12" s="39" t="s">
        <v>36</v>
      </c>
      <c r="H12" s="40">
        <f t="shared" ref="H12:N12" si="5">H9-H10-H11</f>
        <v>458461</v>
      </c>
      <c r="I12" s="40">
        <f t="shared" si="5"/>
        <v>-91012</v>
      </c>
      <c r="J12" s="40">
        <f t="shared" si="5"/>
        <v>-176012</v>
      </c>
      <c r="K12" s="40">
        <f t="shared" si="5"/>
        <v>-305403</v>
      </c>
      <c r="L12" s="40">
        <f t="shared" si="5"/>
        <v>255216</v>
      </c>
      <c r="M12" s="40">
        <f t="shared" si="5"/>
        <v>-40625</v>
      </c>
      <c r="N12" s="40">
        <f t="shared" si="5"/>
        <v>-40625</v>
      </c>
      <c r="O12" s="19"/>
      <c r="P12" s="16"/>
    </row>
    <row r="13" ht="6.0" customHeight="1">
      <c r="A13" s="41"/>
      <c r="B13" s="42"/>
      <c r="C13" s="43"/>
      <c r="D13" s="43"/>
      <c r="F13" s="42"/>
      <c r="G13" s="44"/>
      <c r="H13" s="45"/>
      <c r="I13" s="45"/>
      <c r="J13" s="45"/>
      <c r="K13" s="45"/>
      <c r="L13" s="45"/>
      <c r="M13" s="45"/>
      <c r="N13" s="45"/>
      <c r="O13" s="42"/>
      <c r="P13" s="41"/>
    </row>
    <row r="14">
      <c r="A14" s="41"/>
      <c r="B14" s="42"/>
      <c r="F14" s="42"/>
      <c r="G14" s="46" t="s">
        <v>38</v>
      </c>
      <c r="H14" s="47" t="str">
        <f t="shared" ref="H14:N14" si="6">if(H12&lt;0,"Chuyển tiền","Nhận tiền")</f>
        <v>Nhận tiền</v>
      </c>
      <c r="I14" s="47" t="str">
        <f t="shared" si="6"/>
        <v>Chuyển tiền</v>
      </c>
      <c r="J14" s="47" t="str">
        <f t="shared" si="6"/>
        <v>Chuyển tiền</v>
      </c>
      <c r="K14" s="47" t="str">
        <f t="shared" si="6"/>
        <v>Chuyển tiền</v>
      </c>
      <c r="L14" s="47" t="str">
        <f t="shared" si="6"/>
        <v>Nhận tiền</v>
      </c>
      <c r="M14" s="47" t="str">
        <f t="shared" si="6"/>
        <v>Chuyển tiền</v>
      </c>
      <c r="N14" s="47" t="str">
        <f t="shared" si="6"/>
        <v>Chuyển tiền</v>
      </c>
      <c r="O14" s="42"/>
      <c r="P14" s="41"/>
    </row>
    <row r="15" ht="6.75" customHeight="1">
      <c r="A15" s="48"/>
      <c r="B15" s="49"/>
      <c r="C15" s="50"/>
      <c r="D15" s="50"/>
      <c r="E15" s="49"/>
      <c r="F15" s="49"/>
      <c r="G15" s="51"/>
      <c r="H15" s="52"/>
      <c r="I15" s="52"/>
      <c r="J15" s="52"/>
      <c r="K15" s="52"/>
      <c r="L15" s="52"/>
      <c r="M15" s="52"/>
      <c r="N15" s="52"/>
      <c r="O15" s="49"/>
      <c r="P15" s="48"/>
    </row>
    <row r="16">
      <c r="A16" s="48"/>
      <c r="B16" s="49"/>
      <c r="C16" s="50"/>
      <c r="D16" s="50"/>
      <c r="E16" s="49"/>
      <c r="F16" s="49"/>
      <c r="G16" s="53" t="s">
        <v>39</v>
      </c>
      <c r="H16" s="54">
        <f>-sum(I16:N16)</f>
        <v>-613052</v>
      </c>
      <c r="I16" s="55">
        <f t="shared" ref="I16:K16" si="7">-I12</f>
        <v>91012</v>
      </c>
      <c r="J16" s="55">
        <f t="shared" si="7"/>
        <v>176012</v>
      </c>
      <c r="K16" s="55">
        <f t="shared" si="7"/>
        <v>305403</v>
      </c>
      <c r="L16" s="55"/>
      <c r="M16" s="55">
        <f>-M12</f>
        <v>40625</v>
      </c>
      <c r="N16" s="55"/>
      <c r="O16" s="49"/>
      <c r="P16" s="48"/>
    </row>
    <row r="17" ht="6.0" customHeight="1">
      <c r="A17" s="16"/>
      <c r="B17" s="19"/>
      <c r="C17" s="50"/>
      <c r="D17" s="5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6"/>
    </row>
    <row r="18">
      <c r="A18" s="16"/>
      <c r="B18" s="19"/>
      <c r="C18" s="50"/>
      <c r="D18" s="50"/>
      <c r="E18" s="19"/>
      <c r="F18" s="19"/>
      <c r="G18" s="51" t="s">
        <v>41</v>
      </c>
      <c r="H18" s="56">
        <f t="shared" ref="H18:N18" si="8">H12+H16</f>
        <v>-154591</v>
      </c>
      <c r="I18" s="56">
        <f t="shared" si="8"/>
        <v>0</v>
      </c>
      <c r="J18" s="56">
        <f t="shared" si="8"/>
        <v>0</v>
      </c>
      <c r="K18" s="56">
        <f t="shared" si="8"/>
        <v>0</v>
      </c>
      <c r="L18" s="56">
        <f t="shared" si="8"/>
        <v>255216</v>
      </c>
      <c r="M18" s="56">
        <f t="shared" si="8"/>
        <v>0</v>
      </c>
      <c r="N18" s="56">
        <f t="shared" si="8"/>
        <v>-40625</v>
      </c>
      <c r="O18" s="19"/>
      <c r="P18" s="16"/>
    </row>
    <row r="19" ht="24.75" customHeight="1">
      <c r="A19" s="57"/>
      <c r="B19" s="58"/>
      <c r="C19" s="59"/>
      <c r="D19" s="59"/>
      <c r="E19" s="59"/>
      <c r="F19" s="60"/>
      <c r="G19" s="61" t="s">
        <v>42</v>
      </c>
      <c r="H19" s="62" t="str">
        <f t="shared" ref="H19:N19" si="9">IF(AND(H18&gt;=-3000,H18&lt;=1000), "Done", "")</f>
        <v/>
      </c>
      <c r="I19" s="62" t="str">
        <f t="shared" si="9"/>
        <v>Done</v>
      </c>
      <c r="J19" s="62" t="str">
        <f t="shared" si="9"/>
        <v>Done</v>
      </c>
      <c r="K19" s="62" t="str">
        <f t="shared" si="9"/>
        <v>Done</v>
      </c>
      <c r="L19" s="62" t="str">
        <f t="shared" si="9"/>
        <v/>
      </c>
      <c r="M19" s="62" t="str">
        <f t="shared" si="9"/>
        <v>Done</v>
      </c>
      <c r="N19" s="62" t="str">
        <f t="shared" si="9"/>
        <v/>
      </c>
      <c r="O19" s="19"/>
      <c r="P19" s="16"/>
    </row>
    <row r="20" ht="6.0" customHeight="1">
      <c r="A20" s="63"/>
      <c r="B20" s="64"/>
      <c r="C20" s="65"/>
      <c r="D20" s="65"/>
      <c r="E20" s="65"/>
      <c r="F20" s="65"/>
      <c r="G20" s="66"/>
      <c r="H20" s="66"/>
      <c r="I20" s="66"/>
      <c r="J20" s="67"/>
      <c r="K20" s="66"/>
      <c r="L20" s="66"/>
      <c r="M20" s="66"/>
      <c r="N20" s="66"/>
      <c r="O20" s="8"/>
      <c r="P20" s="2"/>
    </row>
    <row r="21" ht="32.25" customHeight="1">
      <c r="A21" s="63"/>
      <c r="B21" s="64"/>
      <c r="C21" s="68" t="s">
        <v>43</v>
      </c>
      <c r="D21" s="59"/>
      <c r="E21" s="59"/>
      <c r="F21" s="69"/>
      <c r="G21" s="70"/>
      <c r="H21" s="70"/>
      <c r="I21" s="70"/>
      <c r="J21" s="71"/>
      <c r="K21" s="70"/>
      <c r="L21" s="70"/>
      <c r="M21" s="70"/>
      <c r="N21" s="70"/>
      <c r="O21" s="8"/>
      <c r="P21" s="2"/>
    </row>
    <row r="22" ht="21.75" customHeight="1">
      <c r="A22" s="57"/>
      <c r="B22" s="58"/>
      <c r="C22" s="72" t="s">
        <v>44</v>
      </c>
      <c r="F22" s="60"/>
      <c r="G22" s="73" t="s">
        <v>45</v>
      </c>
      <c r="H22" s="14"/>
      <c r="I22" s="14"/>
      <c r="J22" s="14"/>
      <c r="K22" s="14"/>
      <c r="L22" s="14"/>
      <c r="M22" s="14"/>
      <c r="N22" s="15"/>
      <c r="O22" s="19"/>
      <c r="P22" s="16"/>
    </row>
    <row r="23" ht="5.25" customHeight="1">
      <c r="A23" s="57"/>
      <c r="B23" s="74"/>
      <c r="C23" s="74"/>
      <c r="D23" s="74"/>
      <c r="E23" s="75"/>
      <c r="F23" s="76"/>
      <c r="G23" s="23"/>
      <c r="H23" s="21"/>
      <c r="I23" s="21"/>
      <c r="J23" s="21"/>
      <c r="K23" s="21"/>
      <c r="L23" s="21"/>
      <c r="M23" s="21"/>
      <c r="N23" s="21"/>
      <c r="O23" s="17"/>
      <c r="P23" s="16"/>
    </row>
    <row r="24">
      <c r="A24" s="57"/>
      <c r="B24" s="58"/>
      <c r="C24" s="77" t="s">
        <v>46</v>
      </c>
      <c r="D24" s="77" t="s">
        <v>47</v>
      </c>
      <c r="E24" s="78" t="s">
        <v>48</v>
      </c>
      <c r="F24" s="79" t="s">
        <v>49</v>
      </c>
      <c r="G24" s="28" t="s">
        <v>50</v>
      </c>
      <c r="H24" s="29" t="str">
        <f t="shared" ref="H24:N24" si="10">H8</f>
        <v>Toàn</v>
      </c>
      <c r="I24" s="29" t="str">
        <f t="shared" si="10"/>
        <v>Trường + Thủy</v>
      </c>
      <c r="J24" s="29" t="str">
        <f t="shared" si="10"/>
        <v>Băng + Tâm</v>
      </c>
      <c r="K24" s="29" t="str">
        <f t="shared" si="10"/>
        <v>Tú</v>
      </c>
      <c r="L24" s="29" t="str">
        <f t="shared" si="10"/>
        <v>Kiên</v>
      </c>
      <c r="M24" s="29" t="str">
        <f t="shared" si="10"/>
        <v>Tạ Ánh</v>
      </c>
      <c r="N24" s="29" t="str">
        <f t="shared" si="10"/>
        <v>Quân</v>
      </c>
      <c r="O24" s="80" t="s">
        <v>8</v>
      </c>
      <c r="P24" s="16"/>
    </row>
    <row r="25">
      <c r="A25" s="81"/>
      <c r="B25" s="82"/>
      <c r="C25" s="82"/>
      <c r="D25" s="82"/>
      <c r="E25" s="83"/>
      <c r="F25" s="84"/>
      <c r="G25" s="85" t="s">
        <v>51</v>
      </c>
      <c r="H25" s="32"/>
      <c r="I25" s="32"/>
      <c r="J25" s="32"/>
      <c r="K25" s="32"/>
      <c r="L25" s="32"/>
      <c r="M25" s="86"/>
      <c r="N25" s="86"/>
      <c r="O25" s="42"/>
      <c r="P25" s="16"/>
    </row>
    <row r="26">
      <c r="A26" s="57"/>
      <c r="B26" s="82"/>
      <c r="C26" s="87">
        <v>240000.0</v>
      </c>
      <c r="D26" s="87" t="str">
        <f>H24</f>
        <v>Toàn</v>
      </c>
      <c r="E26" s="88" t="s">
        <v>52</v>
      </c>
      <c r="F26" s="84" t="b">
        <f t="shared" ref="F26:F27" si="13">C26=sum(H26:N26)</f>
        <v>1</v>
      </c>
      <c r="G26" s="33" t="s">
        <v>53</v>
      </c>
      <c r="H26" s="89"/>
      <c r="I26" s="33">
        <f t="shared" ref="I26:J26" si="11">$C26/$C$9*2</f>
        <v>60000</v>
      </c>
      <c r="J26" s="33">
        <f t="shared" si="11"/>
        <v>60000</v>
      </c>
      <c r="K26" s="33">
        <f t="shared" ref="K26:N26" si="12">$C26/$C$9</f>
        <v>30000</v>
      </c>
      <c r="L26" s="33">
        <f t="shared" si="12"/>
        <v>30000</v>
      </c>
      <c r="M26" s="33">
        <f t="shared" si="12"/>
        <v>30000</v>
      </c>
      <c r="N26" s="33">
        <f t="shared" si="12"/>
        <v>30000</v>
      </c>
      <c r="O26" s="42">
        <f t="shared" ref="O26:O27" si="16">COUNTIF(H26:N26,"&lt;&gt;0")+2</f>
        <v>8</v>
      </c>
      <c r="P26" s="16"/>
    </row>
    <row r="27">
      <c r="A27" s="81"/>
      <c r="B27" s="82"/>
      <c r="C27" s="87">
        <f>340000/12*3</f>
        <v>85000</v>
      </c>
      <c r="D27" s="87" t="str">
        <f>I24</f>
        <v>Trường + Thủy</v>
      </c>
      <c r="E27" s="88" t="s">
        <v>55</v>
      </c>
      <c r="F27" s="84" t="b">
        <f t="shared" si="13"/>
        <v>1</v>
      </c>
      <c r="G27" s="33" t="s">
        <v>56</v>
      </c>
      <c r="H27" s="89"/>
      <c r="I27" s="33">
        <f t="shared" ref="I27:J27" si="14">$C27/$C$9*2</f>
        <v>21250</v>
      </c>
      <c r="J27" s="33">
        <f t="shared" si="14"/>
        <v>21250</v>
      </c>
      <c r="K27" s="33">
        <f t="shared" ref="K27:N27" si="15">$C27/$C$9</f>
        <v>10625</v>
      </c>
      <c r="L27" s="33">
        <f t="shared" si="15"/>
        <v>10625</v>
      </c>
      <c r="M27" s="33">
        <f t="shared" si="15"/>
        <v>10625</v>
      </c>
      <c r="N27" s="33">
        <f t="shared" si="15"/>
        <v>10625</v>
      </c>
      <c r="O27" s="42">
        <f t="shared" si="16"/>
        <v>8</v>
      </c>
      <c r="P27" s="16"/>
    </row>
    <row r="28">
      <c r="A28" s="81"/>
      <c r="B28" s="82"/>
      <c r="C28" s="82"/>
      <c r="D28" s="82"/>
      <c r="E28" s="83"/>
      <c r="F28" s="84"/>
      <c r="G28" s="85" t="s">
        <v>57</v>
      </c>
      <c r="H28" s="32"/>
      <c r="I28" s="32"/>
      <c r="J28" s="32"/>
      <c r="K28" s="32"/>
      <c r="L28" s="32"/>
      <c r="M28" s="86"/>
      <c r="N28" s="86"/>
      <c r="O28" s="42"/>
      <c r="P28" s="16"/>
    </row>
    <row r="29">
      <c r="A29" s="81"/>
      <c r="B29" s="82"/>
      <c r="C29" s="87">
        <v>190000.0</v>
      </c>
      <c r="D29" s="87" t="str">
        <f>D26</f>
        <v>Toàn</v>
      </c>
      <c r="E29" s="88" t="s">
        <v>52</v>
      </c>
      <c r="F29" s="84" t="b">
        <f t="shared" ref="F29:F31" si="19">C29=sum(H29:N29)</f>
        <v>1</v>
      </c>
      <c r="G29" s="33" t="s">
        <v>60</v>
      </c>
      <c r="H29" s="33">
        <f t="shared" ref="H29:H31" si="20">$C29/$C$10</f>
        <v>27142.85714</v>
      </c>
      <c r="I29" s="33">
        <f t="shared" ref="I29:J29" si="17">$C29/$C$10*2</f>
        <v>54285.71429</v>
      </c>
      <c r="J29" s="33">
        <f t="shared" si="17"/>
        <v>54285.71429</v>
      </c>
      <c r="K29" s="33">
        <f t="shared" ref="K29:L29" si="18">$C29/$C$10</f>
        <v>27142.85714</v>
      </c>
      <c r="L29" s="33">
        <f t="shared" si="18"/>
        <v>27142.85714</v>
      </c>
      <c r="M29" s="89"/>
      <c r="N29" s="89"/>
      <c r="O29" s="42">
        <f t="shared" ref="O29:O31" si="23">COUNTIF(H29:N29,"&lt;&gt;0")+2</f>
        <v>7</v>
      </c>
      <c r="P29" s="16"/>
    </row>
    <row r="30">
      <c r="A30" s="81"/>
      <c r="B30" s="82"/>
      <c r="C30" s="87">
        <f>340000/12*5</f>
        <v>141666.6667</v>
      </c>
      <c r="D30" s="87" t="str">
        <f>D26</f>
        <v>Toàn</v>
      </c>
      <c r="E30" s="88" t="s">
        <v>55</v>
      </c>
      <c r="F30" s="84" t="b">
        <f t="shared" si="19"/>
        <v>1</v>
      </c>
      <c r="G30" s="33" t="s">
        <v>63</v>
      </c>
      <c r="H30" s="33">
        <f t="shared" si="20"/>
        <v>20238.09524</v>
      </c>
      <c r="I30" s="33">
        <f t="shared" ref="I30:J30" si="21">$C30/$C$10*2</f>
        <v>40476.19048</v>
      </c>
      <c r="J30" s="33">
        <f t="shared" si="21"/>
        <v>40476.19048</v>
      </c>
      <c r="K30" s="33">
        <f t="shared" ref="K30:L30" si="22">$C30/$C$10</f>
        <v>20238.09524</v>
      </c>
      <c r="L30" s="33">
        <f t="shared" si="22"/>
        <v>20238.09524</v>
      </c>
      <c r="M30" s="89"/>
      <c r="N30" s="89"/>
      <c r="O30" s="42">
        <f t="shared" si="23"/>
        <v>7</v>
      </c>
      <c r="P30" s="16"/>
    </row>
    <row r="31">
      <c r="A31" s="81"/>
      <c r="B31" s="82"/>
      <c r="C31" s="87">
        <v>60000.0</v>
      </c>
      <c r="D31" s="87" t="str">
        <f>L24</f>
        <v>Kiên</v>
      </c>
      <c r="E31" s="88" t="s">
        <v>65</v>
      </c>
      <c r="F31" s="84" t="b">
        <f t="shared" si="19"/>
        <v>1</v>
      </c>
      <c r="G31" s="33" t="s">
        <v>66</v>
      </c>
      <c r="H31" s="33">
        <f t="shared" si="20"/>
        <v>8571.428571</v>
      </c>
      <c r="I31" s="33">
        <f t="shared" ref="I31:J31" si="24">$C31/$C$10*2</f>
        <v>17142.85714</v>
      </c>
      <c r="J31" s="33">
        <f t="shared" si="24"/>
        <v>17142.85714</v>
      </c>
      <c r="K31" s="33">
        <f t="shared" ref="K31:L31" si="25">$C31/$C$10</f>
        <v>8571.428571</v>
      </c>
      <c r="L31" s="33">
        <f t="shared" si="25"/>
        <v>8571.428571</v>
      </c>
      <c r="M31" s="89"/>
      <c r="N31" s="89"/>
      <c r="O31" s="42">
        <f t="shared" si="23"/>
        <v>7</v>
      </c>
      <c r="P31" s="16"/>
    </row>
    <row r="32" ht="6.0" customHeight="1">
      <c r="A32" s="81"/>
      <c r="B32" s="82"/>
      <c r="C32" s="82"/>
      <c r="D32" s="82"/>
      <c r="E32" s="83"/>
      <c r="F32" s="84"/>
      <c r="G32" s="32"/>
      <c r="H32" s="19"/>
      <c r="I32" s="19"/>
      <c r="J32" s="19"/>
      <c r="K32" s="32"/>
      <c r="L32" s="32"/>
      <c r="M32" s="32"/>
      <c r="N32" s="32"/>
      <c r="O32" s="19"/>
      <c r="P32" s="16"/>
    </row>
    <row r="33" ht="18.0" customHeight="1">
      <c r="A33" s="81"/>
      <c r="B33" s="82"/>
      <c r="C33" s="82"/>
      <c r="D33" s="82"/>
      <c r="E33" s="83"/>
      <c r="F33" s="84"/>
      <c r="G33" s="73" t="s">
        <v>68</v>
      </c>
      <c r="H33" s="14"/>
      <c r="I33" s="14"/>
      <c r="J33" s="14"/>
      <c r="K33" s="14"/>
      <c r="L33" s="14"/>
      <c r="M33" s="14"/>
      <c r="N33" s="15"/>
      <c r="O33" s="19"/>
      <c r="P33" s="16"/>
    </row>
    <row r="34" ht="3.75" customHeight="1">
      <c r="A34" s="81"/>
      <c r="B34" s="82"/>
      <c r="C34" s="82"/>
      <c r="D34" s="82"/>
      <c r="E34" s="83"/>
      <c r="F34" s="84"/>
      <c r="G34" s="32"/>
      <c r="H34" s="19"/>
      <c r="I34" s="19"/>
      <c r="J34" s="19"/>
      <c r="K34" s="32"/>
      <c r="L34" s="32"/>
      <c r="M34" s="32"/>
      <c r="N34" s="32"/>
      <c r="O34" s="19"/>
      <c r="P34" s="16"/>
    </row>
    <row r="35">
      <c r="A35" s="81"/>
      <c r="B35" s="82"/>
      <c r="C35" s="82"/>
      <c r="D35" s="82"/>
      <c r="E35" s="83"/>
      <c r="F35" s="84" t="b">
        <f t="shared" ref="F35:F37" si="26">If(C35 - round(sum(H35:N35),0) &lt; 5000, True, False)</f>
        <v>1</v>
      </c>
      <c r="G35" s="33" t="s">
        <v>71</v>
      </c>
      <c r="H35" s="33">
        <f t="array" ref="H35">-_xlfn.XLOOKUP(H$24,'2609'!$8:$8,'2609'!$18:$18)</f>
        <v>65825</v>
      </c>
      <c r="I35" s="89"/>
      <c r="J35" s="89"/>
      <c r="K35" s="33">
        <f t="array" ref="K35">-_xlfn.XLOOKUP(K$24,'2609'!$8:$8,'2609'!$18:$18)</f>
        <v>217397</v>
      </c>
      <c r="L35" s="33">
        <f t="array" ref="L35">-_xlfn.XLOOKUP(L$24,'2609'!$8:$8,'2609'!$18:$18)</f>
        <v>-283222</v>
      </c>
      <c r="M35" s="89"/>
      <c r="N35" s="89"/>
      <c r="O35" s="42">
        <f t="shared" ref="O35:O37" si="27">COUNTIF(H35:N35,"&lt;&gt;0")</f>
        <v>3</v>
      </c>
      <c r="P35" s="16"/>
    </row>
    <row r="36" ht="15.0" customHeight="1">
      <c r="A36" s="2"/>
      <c r="B36" s="8"/>
      <c r="C36" s="90"/>
      <c r="D36" s="8"/>
      <c r="E36" s="91"/>
      <c r="F36" s="84" t="b">
        <f t="shared" si="26"/>
        <v>1</v>
      </c>
      <c r="G36" s="33" t="s">
        <v>76</v>
      </c>
      <c r="H36" s="37">
        <v>-35000.0</v>
      </c>
      <c r="I36" s="89"/>
      <c r="J36" s="89"/>
      <c r="K36" s="89"/>
      <c r="L36" s="37">
        <f t="shared" ref="L36:L37" si="28">-H36</f>
        <v>35000</v>
      </c>
      <c r="M36" s="89"/>
      <c r="N36" s="89"/>
      <c r="O36" s="42">
        <f t="shared" si="27"/>
        <v>2</v>
      </c>
      <c r="P36" s="2"/>
    </row>
    <row r="37" ht="15.0" customHeight="1">
      <c r="A37" s="2"/>
      <c r="B37" s="8"/>
      <c r="C37" s="90"/>
      <c r="D37" s="8"/>
      <c r="E37" s="91"/>
      <c r="F37" s="84" t="b">
        <f t="shared" si="26"/>
        <v>1</v>
      </c>
      <c r="G37" s="33" t="s">
        <v>79</v>
      </c>
      <c r="H37" s="37">
        <v>35000.0</v>
      </c>
      <c r="I37" s="89"/>
      <c r="J37" s="89"/>
      <c r="K37" s="89"/>
      <c r="L37" s="37">
        <f t="shared" si="28"/>
        <v>-35000</v>
      </c>
      <c r="M37" s="89"/>
      <c r="N37" s="89"/>
      <c r="O37" s="42">
        <f t="shared" si="27"/>
        <v>2</v>
      </c>
      <c r="P37" s="2"/>
    </row>
    <row r="38" ht="15.0" customHeight="1">
      <c r="A38" s="2"/>
      <c r="B38" s="8"/>
      <c r="C38" s="90"/>
      <c r="D38" s="8"/>
      <c r="E38" s="91"/>
      <c r="F38" s="92"/>
      <c r="G38" s="8"/>
      <c r="H38" s="8"/>
      <c r="I38" s="8"/>
      <c r="J38" s="8"/>
      <c r="K38" s="8"/>
      <c r="L38" s="8"/>
      <c r="M38" s="8"/>
      <c r="N38" s="8"/>
      <c r="O38" s="8"/>
      <c r="P38" s="2"/>
    </row>
    <row r="39" ht="15.0" customHeight="1">
      <c r="A39" s="2"/>
      <c r="B39" s="8"/>
      <c r="C39" s="93" t="s">
        <v>81</v>
      </c>
      <c r="D39" s="8"/>
      <c r="E39" s="91"/>
      <c r="F39" s="8"/>
      <c r="G39" s="8"/>
      <c r="H39" s="8"/>
      <c r="I39" s="8"/>
      <c r="J39" s="8"/>
      <c r="K39" s="8"/>
      <c r="L39" s="8"/>
      <c r="M39" s="8"/>
      <c r="N39" s="8"/>
      <c r="O39" s="8"/>
      <c r="P39" s="2"/>
    </row>
    <row r="40" ht="12.75" customHeight="1">
      <c r="A40" s="16"/>
      <c r="B40" s="19"/>
      <c r="C40" s="94"/>
      <c r="D40" s="95"/>
      <c r="E40" s="96"/>
      <c r="F40" s="96"/>
      <c r="G40" s="96"/>
      <c r="H40" s="96"/>
      <c r="I40" s="96"/>
      <c r="J40" s="96"/>
      <c r="K40" s="96"/>
      <c r="L40" s="96"/>
      <c r="M40" s="96"/>
      <c r="N40" s="97"/>
      <c r="O40" s="19"/>
      <c r="P40" s="16"/>
    </row>
    <row r="41" ht="12.75" customHeight="1">
      <c r="A41" s="16"/>
      <c r="B41" s="19"/>
      <c r="C41" s="94"/>
      <c r="D41" s="98"/>
      <c r="E41" s="99"/>
      <c r="F41" s="99"/>
      <c r="G41" s="99"/>
      <c r="H41" s="99"/>
      <c r="I41" s="99"/>
      <c r="J41" s="99"/>
      <c r="K41" s="99"/>
      <c r="L41" s="99"/>
      <c r="M41" s="99"/>
      <c r="N41" s="100"/>
      <c r="O41" s="19"/>
      <c r="P41" s="16"/>
    </row>
    <row r="42" ht="12.75" customHeight="1">
      <c r="A42" s="16"/>
      <c r="B42" s="19"/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3"/>
      <c r="O42" s="19"/>
      <c r="P42" s="16"/>
    </row>
    <row r="43" ht="19.5" customHeight="1">
      <c r="A43" s="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</sheetData>
  <mergeCells count="11">
    <mergeCell ref="D13:E13"/>
    <mergeCell ref="C22:E22"/>
    <mergeCell ref="G22:N22"/>
    <mergeCell ref="G33:N33"/>
    <mergeCell ref="C3:D3"/>
    <mergeCell ref="G5:N5"/>
    <mergeCell ref="C7:E7"/>
    <mergeCell ref="D8:E8"/>
    <mergeCell ref="D9:E9"/>
    <mergeCell ref="D10:E10"/>
    <mergeCell ref="D11:E11"/>
  </mergeCells>
  <conditionalFormatting sqref="A13:B14 F13:P14">
    <cfRule type="containsText" dxfId="0" priority="1" operator="containsText" text="Chuyển tiền">
      <formula>NOT(ISERROR(SEARCH(("Chuyển tiền"),(A13))))</formula>
    </cfRule>
  </conditionalFormatting>
  <conditionalFormatting sqref="A13:B14 F13:P14">
    <cfRule type="containsText" dxfId="1" priority="2" operator="containsText" text="Nhận tiền">
      <formula>NOT(ISERROR(SEARCH(("Nhận tiền"),(A13))))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3" max="18" width="11.75"/>
    <col customWidth="1" min="19" max="19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2"/>
    </row>
    <row r="3" ht="16.5" customHeight="1">
      <c r="A3" s="2"/>
      <c r="B3" s="4"/>
      <c r="C3" s="6" t="s">
        <v>2</v>
      </c>
      <c r="D3" s="7"/>
      <c r="E3" s="8"/>
      <c r="F3" s="8"/>
      <c r="G3" s="9" t="s">
        <v>3</v>
      </c>
      <c r="H3" s="10">
        <f t="shared" ref="H3:Q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10">
        <f t="shared" si="1"/>
        <v>9</v>
      </c>
      <c r="Q3" s="10">
        <f t="shared" si="1"/>
        <v>10</v>
      </c>
      <c r="R3" s="5"/>
      <c r="S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8"/>
      <c r="S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4"/>
      <c r="Q5" s="15"/>
      <c r="R5" s="8"/>
      <c r="S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19"/>
      <c r="S6" s="16"/>
    </row>
    <row r="7" ht="15.75" customHeight="1">
      <c r="A7" s="16"/>
      <c r="B7" s="17"/>
      <c r="C7" s="22" t="s">
        <v>6</v>
      </c>
      <c r="D7" s="14"/>
      <c r="E7" s="15"/>
      <c r="F7" s="19"/>
      <c r="G7" s="23"/>
      <c r="H7" s="24"/>
      <c r="I7" s="24"/>
      <c r="J7" s="24"/>
      <c r="K7" s="24"/>
      <c r="L7" s="24"/>
      <c r="M7" s="25" t="s">
        <v>7</v>
      </c>
      <c r="N7" s="25" t="s">
        <v>7</v>
      </c>
      <c r="O7" s="25"/>
      <c r="P7" s="25"/>
      <c r="Q7" s="24"/>
      <c r="R7" s="19"/>
      <c r="S7" s="16"/>
    </row>
    <row r="8" ht="18.0" customHeight="1">
      <c r="A8" s="16"/>
      <c r="B8" s="17"/>
      <c r="C8" s="26" t="s">
        <v>8</v>
      </c>
      <c r="D8" s="27" t="s">
        <v>9</v>
      </c>
      <c r="E8" s="15"/>
      <c r="F8" s="19"/>
      <c r="G8" s="28" t="s">
        <v>10</v>
      </c>
      <c r="H8" s="29" t="s">
        <v>11</v>
      </c>
      <c r="I8" s="29" t="s">
        <v>12</v>
      </c>
      <c r="J8" s="29" t="s">
        <v>13</v>
      </c>
      <c r="K8" s="29" t="s">
        <v>14</v>
      </c>
      <c r="L8" s="29" t="s">
        <v>15</v>
      </c>
      <c r="M8" s="29" t="s">
        <v>16</v>
      </c>
      <c r="N8" s="29" t="s">
        <v>23</v>
      </c>
      <c r="O8" s="29" t="s">
        <v>25</v>
      </c>
      <c r="P8" s="29" t="s">
        <v>22</v>
      </c>
      <c r="Q8" s="29" t="s">
        <v>21</v>
      </c>
      <c r="R8" s="19"/>
      <c r="S8" s="16"/>
    </row>
    <row r="9">
      <c r="A9" s="16"/>
      <c r="B9" s="19"/>
      <c r="C9" s="30">
        <v>13.0</v>
      </c>
      <c r="D9" s="31" t="s">
        <v>28</v>
      </c>
      <c r="E9" s="15"/>
      <c r="F9" s="32"/>
      <c r="G9" s="33" t="str">
        <f>C22</f>
        <v>Tổng ứng trước</v>
      </c>
      <c r="H9" s="34">
        <f t="shared" ref="H9:Q9" si="2">round(sumif($D:$D,H8,$C:$C),0)</f>
        <v>928333</v>
      </c>
      <c r="I9" s="34">
        <f t="shared" si="2"/>
        <v>0</v>
      </c>
      <c r="J9" s="34">
        <f t="shared" si="2"/>
        <v>0</v>
      </c>
      <c r="K9" s="34">
        <f t="shared" si="2"/>
        <v>0</v>
      </c>
      <c r="L9" s="34">
        <f t="shared" si="2"/>
        <v>60000</v>
      </c>
      <c r="M9" s="34">
        <f t="shared" si="2"/>
        <v>0</v>
      </c>
      <c r="N9" s="34">
        <f t="shared" si="2"/>
        <v>0</v>
      </c>
      <c r="O9" s="34">
        <f t="shared" si="2"/>
        <v>0</v>
      </c>
      <c r="P9" s="34">
        <f t="shared" si="2"/>
        <v>0</v>
      </c>
      <c r="Q9" s="34">
        <f t="shared" si="2"/>
        <v>0</v>
      </c>
      <c r="R9" s="19"/>
      <c r="S9" s="16"/>
    </row>
    <row r="10">
      <c r="A10" s="16"/>
      <c r="B10" s="19"/>
      <c r="C10" s="30">
        <v>7.0</v>
      </c>
      <c r="D10" s="31" t="s">
        <v>30</v>
      </c>
      <c r="E10" s="15"/>
      <c r="F10" s="32"/>
      <c r="G10" s="33" t="str">
        <f>"[-] "&amp;G22</f>
        <v>[-] Tổng chi phí</v>
      </c>
      <c r="H10" s="34">
        <f t="shared" ref="H10:Q10" si="3">round(sum(H26:H31),0)</f>
        <v>108355</v>
      </c>
      <c r="I10" s="34">
        <f t="shared" si="3"/>
        <v>204711</v>
      </c>
      <c r="J10" s="34">
        <f t="shared" si="3"/>
        <v>84615</v>
      </c>
      <c r="K10" s="34">
        <f t="shared" si="3"/>
        <v>108355</v>
      </c>
      <c r="L10" s="34">
        <f t="shared" si="3"/>
        <v>54308</v>
      </c>
      <c r="M10" s="34">
        <f t="shared" si="3"/>
        <v>96355</v>
      </c>
      <c r="N10" s="34">
        <f t="shared" si="3"/>
        <v>138663</v>
      </c>
      <c r="O10" s="34">
        <f t="shared" si="3"/>
        <v>42308</v>
      </c>
      <c r="P10" s="34">
        <f t="shared" si="3"/>
        <v>96355</v>
      </c>
      <c r="Q10" s="34">
        <f t="shared" si="3"/>
        <v>54308</v>
      </c>
      <c r="R10" s="19"/>
      <c r="S10" s="16"/>
    </row>
    <row r="11">
      <c r="A11" s="16"/>
      <c r="B11" s="19"/>
      <c r="C11" s="35"/>
      <c r="D11" s="35"/>
      <c r="F11" s="36"/>
      <c r="G11" s="37" t="str">
        <f>"[-] "&amp;G33</f>
        <v>[-] Bù trừ nợ đợt trước</v>
      </c>
      <c r="H11" s="38">
        <f t="shared" ref="H11:Q11" si="4">Sum(H35:H44)</f>
        <v>-49595</v>
      </c>
      <c r="I11" s="38">
        <f t="shared" si="4"/>
        <v>218083</v>
      </c>
      <c r="J11" s="38">
        <f t="shared" si="4"/>
        <v>0</v>
      </c>
      <c r="K11" s="38">
        <f t="shared" si="4"/>
        <v>109042</v>
      </c>
      <c r="L11" s="38">
        <f t="shared" si="4"/>
        <v>-277530</v>
      </c>
      <c r="M11" s="38">
        <f t="shared" si="4"/>
        <v>0</v>
      </c>
      <c r="N11" s="38">
        <f t="shared" si="4"/>
        <v>0</v>
      </c>
      <c r="O11" s="38">
        <f t="shared" si="4"/>
        <v>0</v>
      </c>
      <c r="P11" s="38">
        <f t="shared" si="4"/>
        <v>0</v>
      </c>
      <c r="Q11" s="38">
        <f t="shared" si="4"/>
        <v>0</v>
      </c>
      <c r="R11" s="19"/>
      <c r="S11" s="16"/>
    </row>
    <row r="12">
      <c r="A12" s="16"/>
      <c r="B12" s="19"/>
      <c r="F12" s="36"/>
      <c r="G12" s="39" t="s">
        <v>36</v>
      </c>
      <c r="H12" s="40">
        <f t="shared" ref="H12:Q12" si="5">H9-H10-H11</f>
        <v>869573</v>
      </c>
      <c r="I12" s="40">
        <f t="shared" si="5"/>
        <v>-422794</v>
      </c>
      <c r="J12" s="40">
        <f t="shared" si="5"/>
        <v>-84615</v>
      </c>
      <c r="K12" s="40">
        <f t="shared" si="5"/>
        <v>-217397</v>
      </c>
      <c r="L12" s="40">
        <f t="shared" si="5"/>
        <v>283222</v>
      </c>
      <c r="M12" s="40">
        <f t="shared" si="5"/>
        <v>-96355</v>
      </c>
      <c r="N12" s="40">
        <f t="shared" si="5"/>
        <v>-138663</v>
      </c>
      <c r="O12" s="40">
        <f t="shared" si="5"/>
        <v>-42308</v>
      </c>
      <c r="P12" s="40">
        <f t="shared" si="5"/>
        <v>-96355</v>
      </c>
      <c r="Q12" s="40">
        <f t="shared" si="5"/>
        <v>-54308</v>
      </c>
      <c r="R12" s="19"/>
      <c r="S12" s="16"/>
    </row>
    <row r="13" ht="6.0" customHeight="1">
      <c r="A13" s="41"/>
      <c r="B13" s="42"/>
      <c r="C13" s="43"/>
      <c r="D13" s="43"/>
      <c r="F13" s="42"/>
      <c r="G13" s="44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2"/>
      <c r="S13" s="41"/>
    </row>
    <row r="14">
      <c r="A14" s="41"/>
      <c r="B14" s="42"/>
      <c r="F14" s="42"/>
      <c r="G14" s="46" t="s">
        <v>38</v>
      </c>
      <c r="H14" s="47" t="str">
        <f t="shared" ref="H14:Q14" si="6">if(H12&lt;0,"Chuyển tiền","Nhận tiền")</f>
        <v>Nhận tiền</v>
      </c>
      <c r="I14" s="47" t="str">
        <f t="shared" si="6"/>
        <v>Chuyển tiền</v>
      </c>
      <c r="J14" s="47" t="str">
        <f t="shared" si="6"/>
        <v>Chuyển tiền</v>
      </c>
      <c r="K14" s="47" t="str">
        <f t="shared" si="6"/>
        <v>Chuyển tiền</v>
      </c>
      <c r="L14" s="47" t="str">
        <f t="shared" si="6"/>
        <v>Nhận tiền</v>
      </c>
      <c r="M14" s="47" t="str">
        <f t="shared" si="6"/>
        <v>Chuyển tiền</v>
      </c>
      <c r="N14" s="47" t="str">
        <f t="shared" si="6"/>
        <v>Chuyển tiền</v>
      </c>
      <c r="O14" s="47" t="str">
        <f t="shared" si="6"/>
        <v>Chuyển tiền</v>
      </c>
      <c r="P14" s="47" t="str">
        <f t="shared" si="6"/>
        <v>Chuyển tiền</v>
      </c>
      <c r="Q14" s="47" t="str">
        <f t="shared" si="6"/>
        <v>Chuyển tiền</v>
      </c>
      <c r="R14" s="42"/>
      <c r="S14" s="41"/>
    </row>
    <row r="15" ht="6.75" customHeight="1">
      <c r="A15" s="48"/>
      <c r="B15" s="49"/>
      <c r="C15" s="50"/>
      <c r="D15" s="50"/>
      <c r="E15" s="49"/>
      <c r="F15" s="49"/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49"/>
      <c r="S15" s="48"/>
    </row>
    <row r="16">
      <c r="A16" s="48"/>
      <c r="B16" s="49"/>
      <c r="C16" s="50"/>
      <c r="D16" s="50"/>
      <c r="E16" s="49"/>
      <c r="F16" s="49"/>
      <c r="G16" s="53" t="s">
        <v>39</v>
      </c>
      <c r="H16" s="54">
        <f>-sum(I16:Q16)</f>
        <v>-935398</v>
      </c>
      <c r="I16" s="55">
        <f t="shared" ref="I16:J16" si="7">-I12</f>
        <v>422794</v>
      </c>
      <c r="J16" s="55">
        <f t="shared" si="7"/>
        <v>84615</v>
      </c>
      <c r="K16" s="55"/>
      <c r="L16" s="55"/>
      <c r="M16" s="55">
        <f t="shared" ref="M16:Q16" si="8">-M12</f>
        <v>96355</v>
      </c>
      <c r="N16" s="55">
        <f t="shared" si="8"/>
        <v>138663</v>
      </c>
      <c r="O16" s="55">
        <f t="shared" si="8"/>
        <v>42308</v>
      </c>
      <c r="P16" s="55">
        <f t="shared" si="8"/>
        <v>96355</v>
      </c>
      <c r="Q16" s="55">
        <f t="shared" si="8"/>
        <v>54308</v>
      </c>
      <c r="R16" s="49"/>
      <c r="S16" s="48"/>
    </row>
    <row r="17" ht="6.0" customHeight="1">
      <c r="A17" s="16"/>
      <c r="B17" s="19"/>
      <c r="C17" s="50"/>
      <c r="D17" s="5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6"/>
    </row>
    <row r="18">
      <c r="A18" s="16"/>
      <c r="B18" s="19"/>
      <c r="C18" s="50"/>
      <c r="D18" s="50"/>
      <c r="E18" s="19"/>
      <c r="F18" s="19"/>
      <c r="G18" s="51" t="s">
        <v>41</v>
      </c>
      <c r="H18" s="56">
        <f t="shared" ref="H18:Q18" si="9">H12+H16</f>
        <v>-65825</v>
      </c>
      <c r="I18" s="56">
        <f t="shared" si="9"/>
        <v>0</v>
      </c>
      <c r="J18" s="56">
        <f t="shared" si="9"/>
        <v>0</v>
      </c>
      <c r="K18" s="56">
        <f t="shared" si="9"/>
        <v>-217397</v>
      </c>
      <c r="L18" s="56">
        <f t="shared" si="9"/>
        <v>283222</v>
      </c>
      <c r="M18" s="56">
        <f t="shared" si="9"/>
        <v>0</v>
      </c>
      <c r="N18" s="56">
        <f t="shared" si="9"/>
        <v>0</v>
      </c>
      <c r="O18" s="56">
        <f t="shared" si="9"/>
        <v>0</v>
      </c>
      <c r="P18" s="56">
        <f t="shared" si="9"/>
        <v>0</v>
      </c>
      <c r="Q18" s="56">
        <f t="shared" si="9"/>
        <v>0</v>
      </c>
      <c r="R18" s="19"/>
      <c r="S18" s="16"/>
    </row>
    <row r="19" ht="24.75" customHeight="1">
      <c r="A19" s="57"/>
      <c r="B19" s="58"/>
      <c r="C19" s="59"/>
      <c r="D19" s="59"/>
      <c r="E19" s="59"/>
      <c r="F19" s="60"/>
      <c r="G19" s="61" t="s">
        <v>42</v>
      </c>
      <c r="H19" s="62" t="str">
        <f t="shared" ref="H19:L19" si="10">IF(AND(H18&gt;=-3000,H18&lt;=1000), "Done", "")</f>
        <v/>
      </c>
      <c r="I19" s="62" t="str">
        <f t="shared" si="10"/>
        <v>Done</v>
      </c>
      <c r="J19" s="62" t="str">
        <f t="shared" si="10"/>
        <v>Done</v>
      </c>
      <c r="K19" s="62" t="str">
        <f t="shared" si="10"/>
        <v/>
      </c>
      <c r="L19" s="62" t="str">
        <f t="shared" si="10"/>
        <v/>
      </c>
      <c r="M19" s="62" t="str">
        <f t="shared" ref="M19:O19" si="11">IF(AND(M18&gt;=-3000,M18&lt;=2000), "Done", "")</f>
        <v>Done</v>
      </c>
      <c r="N19" s="62" t="str">
        <f t="shared" si="11"/>
        <v>Done</v>
      </c>
      <c r="O19" s="62" t="str">
        <f t="shared" si="11"/>
        <v>Done</v>
      </c>
      <c r="P19" s="62" t="str">
        <f t="shared" ref="P19:Q19" si="12">IF(AND(P18&gt;=-3000,P18&lt;=1000), "Done", "")</f>
        <v>Done</v>
      </c>
      <c r="Q19" s="62" t="str">
        <f t="shared" si="12"/>
        <v>Done</v>
      </c>
      <c r="R19" s="19"/>
      <c r="S19" s="16"/>
    </row>
    <row r="20" ht="6.0" customHeight="1">
      <c r="A20" s="63"/>
      <c r="B20" s="64"/>
      <c r="C20" s="65"/>
      <c r="D20" s="65"/>
      <c r="E20" s="65"/>
      <c r="F20" s="65"/>
      <c r="G20" s="66"/>
      <c r="H20" s="66"/>
      <c r="I20" s="66"/>
      <c r="J20" s="67"/>
      <c r="K20" s="66"/>
      <c r="L20" s="66"/>
      <c r="M20" s="66"/>
      <c r="N20" s="66"/>
      <c r="O20" s="66"/>
      <c r="P20" s="66"/>
      <c r="Q20" s="66"/>
      <c r="R20" s="8"/>
      <c r="S20" s="2"/>
    </row>
    <row r="21" ht="32.25" customHeight="1">
      <c r="A21" s="63"/>
      <c r="B21" s="64"/>
      <c r="C21" s="68" t="s">
        <v>43</v>
      </c>
      <c r="D21" s="59"/>
      <c r="E21" s="59"/>
      <c r="F21" s="69"/>
      <c r="G21" s="70"/>
      <c r="H21" s="70"/>
      <c r="I21" s="70"/>
      <c r="J21" s="71"/>
      <c r="K21" s="70"/>
      <c r="L21" s="70"/>
      <c r="M21" s="70"/>
      <c r="N21" s="70"/>
      <c r="O21" s="70"/>
      <c r="P21" s="70"/>
      <c r="Q21" s="70"/>
      <c r="R21" s="8"/>
      <c r="S21" s="2"/>
    </row>
    <row r="22" ht="21.75" customHeight="1">
      <c r="A22" s="57"/>
      <c r="B22" s="58"/>
      <c r="C22" s="72" t="s">
        <v>44</v>
      </c>
      <c r="F22" s="60"/>
      <c r="G22" s="73" t="s">
        <v>45</v>
      </c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9"/>
      <c r="S22" s="16"/>
    </row>
    <row r="23" ht="5.25" customHeight="1">
      <c r="A23" s="57"/>
      <c r="B23" s="74"/>
      <c r="C23" s="74"/>
      <c r="D23" s="74"/>
      <c r="E23" s="75"/>
      <c r="F23" s="76"/>
      <c r="G23" s="23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7"/>
      <c r="S23" s="16"/>
    </row>
    <row r="24">
      <c r="A24" s="57"/>
      <c r="B24" s="58"/>
      <c r="C24" s="77" t="s">
        <v>46</v>
      </c>
      <c r="D24" s="77" t="s">
        <v>47</v>
      </c>
      <c r="E24" s="78" t="s">
        <v>48</v>
      </c>
      <c r="F24" s="79" t="s">
        <v>49</v>
      </c>
      <c r="G24" s="28" t="s">
        <v>50</v>
      </c>
      <c r="H24" s="29" t="str">
        <f t="shared" ref="H24:Q24" si="13">H8</f>
        <v>Toàn</v>
      </c>
      <c r="I24" s="29" t="str">
        <f t="shared" si="13"/>
        <v>Trường + Thủy</v>
      </c>
      <c r="J24" s="29" t="str">
        <f t="shared" si="13"/>
        <v>Băng + Tâm</v>
      </c>
      <c r="K24" s="29" t="str">
        <f t="shared" si="13"/>
        <v>Tú</v>
      </c>
      <c r="L24" s="29" t="str">
        <f t="shared" si="13"/>
        <v>Kiên</v>
      </c>
      <c r="M24" s="29" t="str">
        <f t="shared" si="13"/>
        <v>Thái</v>
      </c>
      <c r="N24" s="29" t="str">
        <f t="shared" si="13"/>
        <v>Thảo + Ny</v>
      </c>
      <c r="O24" s="29" t="str">
        <f t="shared" si="13"/>
        <v>Diệp</v>
      </c>
      <c r="P24" s="29" t="str">
        <f t="shared" si="13"/>
        <v>Châu Linh</v>
      </c>
      <c r="Q24" s="29" t="str">
        <f t="shared" si="13"/>
        <v>Quân</v>
      </c>
      <c r="R24" s="80" t="s">
        <v>8</v>
      </c>
      <c r="S24" s="16"/>
    </row>
    <row r="25">
      <c r="A25" s="81"/>
      <c r="B25" s="82"/>
      <c r="C25" s="82"/>
      <c r="D25" s="82"/>
      <c r="E25" s="83"/>
      <c r="F25" s="84"/>
      <c r="G25" s="85" t="s">
        <v>58</v>
      </c>
      <c r="H25" s="32"/>
      <c r="I25" s="32"/>
      <c r="J25" s="32"/>
      <c r="K25" s="32"/>
      <c r="L25" s="32"/>
      <c r="M25" s="32"/>
      <c r="N25" s="32"/>
      <c r="O25" s="32"/>
      <c r="P25" s="86"/>
      <c r="Q25" s="86"/>
      <c r="R25" s="42"/>
      <c r="S25" s="16"/>
    </row>
    <row r="26">
      <c r="A26" s="57"/>
      <c r="B26" s="82"/>
      <c r="C26" s="87">
        <v>380000.0</v>
      </c>
      <c r="D26" s="87" t="str">
        <f>H24</f>
        <v>Toàn</v>
      </c>
      <c r="E26" s="88" t="s">
        <v>61</v>
      </c>
      <c r="F26" s="84" t="b">
        <f t="shared" ref="F26:F28" si="17">C26=sum(H26:Q26)</f>
        <v>1</v>
      </c>
      <c r="G26" s="33" t="s">
        <v>62</v>
      </c>
      <c r="H26" s="33">
        <f t="shared" ref="H26:H27" si="18">$C26/$C$9</f>
        <v>29230.76923</v>
      </c>
      <c r="I26" s="33">
        <f t="shared" ref="I26:J26" si="14">$C26/$C$9*2</f>
        <v>58461.53846</v>
      </c>
      <c r="J26" s="33">
        <f t="shared" si="14"/>
        <v>58461.53846</v>
      </c>
      <c r="K26" s="33">
        <f t="shared" ref="K26:M26" si="15">$C26/$C$9</f>
        <v>29230.76923</v>
      </c>
      <c r="L26" s="33">
        <f t="shared" si="15"/>
        <v>29230.76923</v>
      </c>
      <c r="M26" s="33">
        <f t="shared" si="15"/>
        <v>29230.76923</v>
      </c>
      <c r="N26" s="33">
        <f t="shared" ref="N26:N27" si="21">$C26/$C$9*2</f>
        <v>58461.53846</v>
      </c>
      <c r="O26" s="33">
        <f t="shared" ref="O26:Q26" si="16">$C26/$C$9</f>
        <v>29230.76923</v>
      </c>
      <c r="P26" s="33">
        <f t="shared" si="16"/>
        <v>29230.76923</v>
      </c>
      <c r="Q26" s="33">
        <f t="shared" si="16"/>
        <v>29230.76923</v>
      </c>
      <c r="R26" s="42">
        <f t="shared" ref="R26:R27" si="23">COUNTIF(H26:Q26,"&lt;&gt;0")+3</f>
        <v>13</v>
      </c>
      <c r="S26" s="16"/>
    </row>
    <row r="27">
      <c r="A27" s="81"/>
      <c r="B27" s="82"/>
      <c r="C27" s="87">
        <f>340000/12*6</f>
        <v>170000</v>
      </c>
      <c r="D27" s="87" t="str">
        <f>H24</f>
        <v>Toàn</v>
      </c>
      <c r="E27" s="88" t="s">
        <v>55</v>
      </c>
      <c r="F27" s="84" t="b">
        <f t="shared" si="17"/>
        <v>1</v>
      </c>
      <c r="G27" s="33" t="s">
        <v>67</v>
      </c>
      <c r="H27" s="33">
        <f t="shared" si="18"/>
        <v>13076.92308</v>
      </c>
      <c r="I27" s="33">
        <f t="shared" ref="I27:J27" si="19">$C27/$C$9*2</f>
        <v>26153.84615</v>
      </c>
      <c r="J27" s="33">
        <f t="shared" si="19"/>
        <v>26153.84615</v>
      </c>
      <c r="K27" s="33">
        <f t="shared" ref="K27:M27" si="20">$C27/$C$9</f>
        <v>13076.92308</v>
      </c>
      <c r="L27" s="33">
        <f t="shared" si="20"/>
        <v>13076.92308</v>
      </c>
      <c r="M27" s="33">
        <f t="shared" si="20"/>
        <v>13076.92308</v>
      </c>
      <c r="N27" s="33">
        <f t="shared" si="21"/>
        <v>26153.84615</v>
      </c>
      <c r="O27" s="33">
        <f t="shared" ref="O27:Q27" si="22">$C27/$C$9</f>
        <v>13076.92308</v>
      </c>
      <c r="P27" s="33">
        <f t="shared" si="22"/>
        <v>13076.92308</v>
      </c>
      <c r="Q27" s="33">
        <f t="shared" si="22"/>
        <v>13076.92308</v>
      </c>
      <c r="R27" s="42">
        <f t="shared" si="23"/>
        <v>13</v>
      </c>
      <c r="S27" s="16"/>
    </row>
    <row r="28">
      <c r="A28" s="81"/>
      <c r="B28" s="82"/>
      <c r="C28" s="87">
        <v>60000.0</v>
      </c>
      <c r="D28" s="87" t="str">
        <f>L24</f>
        <v>Kiên</v>
      </c>
      <c r="E28" s="88"/>
      <c r="F28" s="84" t="b">
        <f t="shared" si="17"/>
        <v>1</v>
      </c>
      <c r="G28" s="33" t="s">
        <v>72</v>
      </c>
      <c r="H28" s="33">
        <f t="shared" ref="H28:I28" si="24">$C28/5</f>
        <v>12000</v>
      </c>
      <c r="I28" s="33">
        <f t="shared" si="24"/>
        <v>12000</v>
      </c>
      <c r="J28" s="89"/>
      <c r="K28" s="33">
        <f t="shared" ref="K28:L28" si="25">$C28/5</f>
        <v>12000</v>
      </c>
      <c r="L28" s="33">
        <f t="shared" si="25"/>
        <v>12000</v>
      </c>
      <c r="M28" s="89"/>
      <c r="N28" s="89"/>
      <c r="O28" s="89"/>
      <c r="P28" s="89"/>
      <c r="Q28" s="33">
        <f>$C28/5</f>
        <v>12000</v>
      </c>
      <c r="R28" s="42">
        <f>COUNTIF(H28:Q28,"&lt;&gt;0")</f>
        <v>5</v>
      </c>
      <c r="S28" s="16"/>
    </row>
    <row r="29">
      <c r="A29" s="81"/>
      <c r="B29" s="82"/>
      <c r="C29" s="82"/>
      <c r="D29" s="82"/>
      <c r="E29" s="83"/>
      <c r="F29" s="84"/>
      <c r="G29" s="85" t="s">
        <v>75</v>
      </c>
      <c r="H29" s="32"/>
      <c r="I29" s="32"/>
      <c r="J29" s="32"/>
      <c r="K29" s="32"/>
      <c r="L29" s="32"/>
      <c r="M29" s="32"/>
      <c r="N29" s="32"/>
      <c r="O29" s="32"/>
      <c r="P29" s="86"/>
      <c r="Q29" s="86"/>
      <c r="R29" s="42"/>
      <c r="S29" s="16"/>
    </row>
    <row r="30">
      <c r="A30" s="81"/>
      <c r="B30" s="82"/>
      <c r="C30" s="87">
        <v>265000.0</v>
      </c>
      <c r="D30" s="87" t="str">
        <f>D26</f>
        <v>Toàn</v>
      </c>
      <c r="E30" s="88" t="s">
        <v>52</v>
      </c>
      <c r="F30" s="84" t="b">
        <f t="shared" ref="F30:F31" si="27">C30=sum(H30:Q30)</f>
        <v>1</v>
      </c>
      <c r="G30" s="33" t="s">
        <v>78</v>
      </c>
      <c r="H30" s="33">
        <f t="shared" ref="H30:H31" si="28">$C30/$C$10</f>
        <v>37857.14286</v>
      </c>
      <c r="I30" s="33">
        <f t="shared" ref="I30:I31" si="29">$C30/$C$10*2</f>
        <v>75714.28571</v>
      </c>
      <c r="J30" s="89"/>
      <c r="K30" s="33">
        <f t="shared" ref="K30:K31" si="30">$C30/$C$10</f>
        <v>37857.14286</v>
      </c>
      <c r="L30" s="89"/>
      <c r="M30" s="33">
        <f t="shared" ref="M30:N30" si="26">$C30/$C$10</f>
        <v>37857.14286</v>
      </c>
      <c r="N30" s="33">
        <f t="shared" si="26"/>
        <v>37857.14286</v>
      </c>
      <c r="O30" s="89"/>
      <c r="P30" s="33">
        <f t="shared" ref="P30:P31" si="32">$C30/$C$10</f>
        <v>37857.14286</v>
      </c>
      <c r="Q30" s="89"/>
      <c r="R30" s="42">
        <f t="shared" ref="R30:R31" si="33">COUNTIF(H30:Q30,"&lt;&gt;0")+1</f>
        <v>7</v>
      </c>
      <c r="S30" s="16"/>
    </row>
    <row r="31">
      <c r="A31" s="81"/>
      <c r="B31" s="82"/>
      <c r="C31" s="87">
        <f>340000/12*4</f>
        <v>113333.3333</v>
      </c>
      <c r="D31" s="87" t="str">
        <f>D26</f>
        <v>Toàn</v>
      </c>
      <c r="E31" s="88" t="s">
        <v>55</v>
      </c>
      <c r="F31" s="84" t="b">
        <f t="shared" si="27"/>
        <v>1</v>
      </c>
      <c r="G31" s="33" t="s">
        <v>84</v>
      </c>
      <c r="H31" s="33">
        <f t="shared" si="28"/>
        <v>16190.47619</v>
      </c>
      <c r="I31" s="33">
        <f t="shared" si="29"/>
        <v>32380.95238</v>
      </c>
      <c r="J31" s="89"/>
      <c r="K31" s="33">
        <f t="shared" si="30"/>
        <v>16190.47619</v>
      </c>
      <c r="L31" s="89"/>
      <c r="M31" s="33">
        <f t="shared" ref="M31:N31" si="31">$C31/$C$10</f>
        <v>16190.47619</v>
      </c>
      <c r="N31" s="33">
        <f t="shared" si="31"/>
        <v>16190.47619</v>
      </c>
      <c r="O31" s="89"/>
      <c r="P31" s="33">
        <f t="shared" si="32"/>
        <v>16190.47619</v>
      </c>
      <c r="Q31" s="89"/>
      <c r="R31" s="42">
        <f t="shared" si="33"/>
        <v>7</v>
      </c>
      <c r="S31" s="16"/>
    </row>
    <row r="32" ht="6.0" customHeight="1">
      <c r="A32" s="81"/>
      <c r="B32" s="82"/>
      <c r="C32" s="82"/>
      <c r="D32" s="82"/>
      <c r="E32" s="83"/>
      <c r="F32" s="84"/>
      <c r="G32" s="32"/>
      <c r="H32" s="19"/>
      <c r="I32" s="19"/>
      <c r="J32" s="19"/>
      <c r="K32" s="32"/>
      <c r="L32" s="32"/>
      <c r="M32" s="32"/>
      <c r="N32" s="32"/>
      <c r="O32" s="32"/>
      <c r="P32" s="32"/>
      <c r="Q32" s="32"/>
      <c r="R32" s="19"/>
      <c r="S32" s="16"/>
    </row>
    <row r="33" ht="18.0" customHeight="1">
      <c r="A33" s="81"/>
      <c r="B33" s="82"/>
      <c r="C33" s="82"/>
      <c r="D33" s="82"/>
      <c r="E33" s="83"/>
      <c r="F33" s="84"/>
      <c r="G33" s="73" t="s">
        <v>68</v>
      </c>
      <c r="H33" s="14"/>
      <c r="I33" s="14"/>
      <c r="J33" s="14"/>
      <c r="K33" s="14"/>
      <c r="L33" s="14"/>
      <c r="M33" s="14"/>
      <c r="N33" s="14"/>
      <c r="O33" s="14"/>
      <c r="P33" s="14"/>
      <c r="Q33" s="15"/>
      <c r="R33" s="19"/>
      <c r="S33" s="16"/>
    </row>
    <row r="34" ht="3.75" customHeight="1">
      <c r="A34" s="81"/>
      <c r="B34" s="82"/>
      <c r="C34" s="82"/>
      <c r="D34" s="82"/>
      <c r="E34" s="83"/>
      <c r="F34" s="84"/>
      <c r="G34" s="32"/>
      <c r="H34" s="19"/>
      <c r="I34" s="19"/>
      <c r="J34" s="19"/>
      <c r="K34" s="32"/>
      <c r="L34" s="32"/>
      <c r="M34" s="32"/>
      <c r="N34" s="32"/>
      <c r="O34" s="32"/>
      <c r="P34" s="32"/>
      <c r="Q34" s="32"/>
      <c r="R34" s="19"/>
      <c r="S34" s="16"/>
    </row>
    <row r="35">
      <c r="A35" s="81"/>
      <c r="B35" s="82"/>
      <c r="C35" s="82"/>
      <c r="D35" s="82"/>
      <c r="E35" s="83"/>
      <c r="F35" s="84" t="b">
        <f t="shared" ref="F35:F37" si="34">If(C35 - round(sum(H35:Q35),0) &lt; 5000, True, False)</f>
        <v>1</v>
      </c>
      <c r="G35" s="33" t="s">
        <v>71</v>
      </c>
      <c r="H35" s="33">
        <f t="array" ref="H35">-_xlfn.XLOOKUP(H$24,'1209'!$8:$8,'1209'!$18:$18)</f>
        <v>-37595</v>
      </c>
      <c r="I35" s="33">
        <f t="array" ref="I35">-_xlfn.XLOOKUP(I$24,'1209'!$8:$8,'1209'!$18:$18)</f>
        <v>218083</v>
      </c>
      <c r="J35" s="89"/>
      <c r="K35" s="33">
        <f t="array" ref="K35">-_xlfn.XLOOKUP(K$24,'1209'!$8:$8,'1209'!$18:$18)</f>
        <v>109042</v>
      </c>
      <c r="L35" s="33">
        <f t="array" ref="L35">-_xlfn.XLOOKUP(L$24,'1209'!$8:$8,'1209'!$18:$18)</f>
        <v>-289530</v>
      </c>
      <c r="M35" s="89"/>
      <c r="N35" s="89"/>
      <c r="O35" s="89"/>
      <c r="P35" s="89"/>
      <c r="Q35" s="89"/>
      <c r="R35" s="42">
        <f t="shared" ref="R35:R37" si="35">COUNTIF(H35:Q35,"&lt;&gt;0")</f>
        <v>4</v>
      </c>
      <c r="S35" s="16"/>
    </row>
    <row r="36" ht="15.0" customHeight="1">
      <c r="A36" s="2"/>
      <c r="B36" s="8"/>
      <c r="C36" s="90"/>
      <c r="D36" s="8"/>
      <c r="E36" s="91"/>
      <c r="F36" s="84" t="b">
        <f t="shared" si="34"/>
        <v>1</v>
      </c>
      <c r="G36" s="33" t="s">
        <v>94</v>
      </c>
      <c r="H36" s="37">
        <v>-65000.0</v>
      </c>
      <c r="I36" s="89"/>
      <c r="J36" s="89"/>
      <c r="K36" s="89"/>
      <c r="L36" s="37">
        <f t="shared" ref="L36:L37" si="36">-H36</f>
        <v>65000</v>
      </c>
      <c r="M36" s="89"/>
      <c r="N36" s="89"/>
      <c r="O36" s="89"/>
      <c r="P36" s="89"/>
      <c r="Q36" s="89"/>
      <c r="R36" s="42">
        <f t="shared" si="35"/>
        <v>2</v>
      </c>
      <c r="S36" s="2"/>
    </row>
    <row r="37" ht="15.0" customHeight="1">
      <c r="A37" s="2"/>
      <c r="B37" s="8"/>
      <c r="C37" s="90"/>
      <c r="D37" s="8"/>
      <c r="E37" s="91"/>
      <c r="F37" s="84" t="b">
        <f t="shared" si="34"/>
        <v>1</v>
      </c>
      <c r="G37" s="33" t="s">
        <v>97</v>
      </c>
      <c r="H37" s="37">
        <v>53000.0</v>
      </c>
      <c r="I37" s="89"/>
      <c r="J37" s="89"/>
      <c r="K37" s="89"/>
      <c r="L37" s="37">
        <f t="shared" si="36"/>
        <v>-53000</v>
      </c>
      <c r="M37" s="89"/>
      <c r="N37" s="89"/>
      <c r="O37" s="89"/>
      <c r="P37" s="89"/>
      <c r="Q37" s="89"/>
      <c r="R37" s="42">
        <f t="shared" si="35"/>
        <v>2</v>
      </c>
      <c r="S37" s="2"/>
    </row>
    <row r="38" ht="15.0" customHeight="1">
      <c r="A38" s="2"/>
      <c r="B38" s="8"/>
      <c r="C38" s="90"/>
      <c r="D38" s="8"/>
      <c r="E38" s="91"/>
      <c r="F38" s="92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2"/>
    </row>
    <row r="39" ht="15.0" customHeight="1">
      <c r="A39" s="2"/>
      <c r="B39" s="8"/>
      <c r="C39" s="93" t="s">
        <v>81</v>
      </c>
      <c r="D39" s="8"/>
      <c r="E39" s="91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2"/>
    </row>
    <row r="40" ht="12.75" customHeight="1">
      <c r="A40" s="16"/>
      <c r="B40" s="19"/>
      <c r="C40" s="94"/>
      <c r="D40" s="95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19"/>
      <c r="S40" s="16"/>
    </row>
    <row r="41" ht="12.75" customHeight="1">
      <c r="A41" s="16"/>
      <c r="B41" s="19"/>
      <c r="C41" s="94"/>
      <c r="D41" s="98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19"/>
      <c r="S41" s="16"/>
    </row>
    <row r="42" ht="12.75" customHeight="1">
      <c r="A42" s="16"/>
      <c r="B42" s="19"/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9"/>
      <c r="S42" s="16"/>
    </row>
    <row r="43" ht="19.5" customHeight="1">
      <c r="A43" s="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</sheetData>
  <mergeCells count="11">
    <mergeCell ref="D13:E13"/>
    <mergeCell ref="C22:E22"/>
    <mergeCell ref="G22:Q22"/>
    <mergeCell ref="G33:Q33"/>
    <mergeCell ref="C3:D3"/>
    <mergeCell ref="G5:Q5"/>
    <mergeCell ref="C7:E7"/>
    <mergeCell ref="D8:E8"/>
    <mergeCell ref="D9:E9"/>
    <mergeCell ref="D10:E10"/>
    <mergeCell ref="D11:E11"/>
  </mergeCells>
  <conditionalFormatting sqref="A13:B14 F13:S14">
    <cfRule type="containsText" dxfId="0" priority="1" operator="containsText" text="Chuyển tiền">
      <formula>NOT(ISERROR(SEARCH(("Chuyển tiền"),(A13))))</formula>
    </cfRule>
  </conditionalFormatting>
  <conditionalFormatting sqref="A13:B14 F13:S14">
    <cfRule type="containsText" dxfId="1" priority="2" operator="containsText" text="Nhận tiền">
      <formula>NOT(ISERROR(SEARCH(("Nhận tiền"),(A13))))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3" max="18" width="11.75"/>
    <col customWidth="1" min="19" max="19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2"/>
    </row>
    <row r="3" ht="16.5" customHeight="1">
      <c r="A3" s="2"/>
      <c r="B3" s="4"/>
      <c r="C3" s="6" t="s">
        <v>1</v>
      </c>
      <c r="D3" s="7"/>
      <c r="E3" s="8"/>
      <c r="F3" s="8"/>
      <c r="G3" s="9" t="s">
        <v>3</v>
      </c>
      <c r="H3" s="10">
        <f t="shared" ref="H3:Q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10">
        <f t="shared" si="1"/>
        <v>9</v>
      </c>
      <c r="Q3" s="10">
        <f t="shared" si="1"/>
        <v>10</v>
      </c>
      <c r="R3" s="5"/>
      <c r="S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8"/>
      <c r="S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4"/>
      <c r="Q5" s="15"/>
      <c r="R5" s="8"/>
      <c r="S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19"/>
      <c r="S6" s="16"/>
    </row>
    <row r="7" ht="15.75" customHeight="1">
      <c r="A7" s="16"/>
      <c r="B7" s="17"/>
      <c r="C7" s="22" t="s">
        <v>6</v>
      </c>
      <c r="D7" s="14"/>
      <c r="E7" s="15"/>
      <c r="F7" s="19"/>
      <c r="G7" s="23"/>
      <c r="H7" s="24"/>
      <c r="I7" s="24"/>
      <c r="J7" s="24"/>
      <c r="K7" s="24"/>
      <c r="L7" s="24"/>
      <c r="M7" s="25" t="s">
        <v>7</v>
      </c>
      <c r="N7" s="25" t="s">
        <v>7</v>
      </c>
      <c r="O7" s="25" t="s">
        <v>7</v>
      </c>
      <c r="P7" s="25"/>
      <c r="Q7" s="24"/>
      <c r="R7" s="19"/>
      <c r="S7" s="16"/>
    </row>
    <row r="8" ht="18.0" customHeight="1">
      <c r="A8" s="16"/>
      <c r="B8" s="17"/>
      <c r="C8" s="26" t="s">
        <v>8</v>
      </c>
      <c r="D8" s="27" t="s">
        <v>9</v>
      </c>
      <c r="E8" s="15"/>
      <c r="F8" s="19"/>
      <c r="G8" s="28" t="s">
        <v>10</v>
      </c>
      <c r="H8" s="29" t="s">
        <v>11</v>
      </c>
      <c r="I8" s="29" t="s">
        <v>12</v>
      </c>
      <c r="J8" s="29" t="s">
        <v>13</v>
      </c>
      <c r="K8" s="29" t="s">
        <v>14</v>
      </c>
      <c r="L8" s="29" t="s">
        <v>15</v>
      </c>
      <c r="M8" s="29" t="s">
        <v>16</v>
      </c>
      <c r="N8" s="29" t="s">
        <v>17</v>
      </c>
      <c r="O8" s="29" t="s">
        <v>20</v>
      </c>
      <c r="P8" s="29" t="s">
        <v>22</v>
      </c>
      <c r="Q8" s="29" t="s">
        <v>24</v>
      </c>
      <c r="R8" s="19"/>
      <c r="S8" s="16"/>
    </row>
    <row r="9">
      <c r="A9" s="16"/>
      <c r="B9" s="19"/>
      <c r="C9" s="30">
        <v>10.0</v>
      </c>
      <c r="D9" s="31" t="s">
        <v>27</v>
      </c>
      <c r="E9" s="15"/>
      <c r="F9" s="32"/>
      <c r="G9" s="33" t="str">
        <f>C22</f>
        <v>Tổng ứng trước</v>
      </c>
      <c r="H9" s="34">
        <f t="shared" ref="H9:Q9" si="2">round(sumif($D:$D,H8,$C:$C),0)</f>
        <v>826667</v>
      </c>
      <c r="I9" s="34">
        <f t="shared" si="2"/>
        <v>0</v>
      </c>
      <c r="J9" s="34">
        <f t="shared" si="2"/>
        <v>0</v>
      </c>
      <c r="K9" s="34">
        <f t="shared" si="2"/>
        <v>0</v>
      </c>
      <c r="L9" s="34">
        <f t="shared" si="2"/>
        <v>445000</v>
      </c>
      <c r="M9" s="34">
        <f t="shared" si="2"/>
        <v>0</v>
      </c>
      <c r="N9" s="34">
        <f t="shared" si="2"/>
        <v>0</v>
      </c>
      <c r="O9" s="34">
        <f t="shared" si="2"/>
        <v>50000</v>
      </c>
      <c r="P9" s="34">
        <f t="shared" si="2"/>
        <v>0</v>
      </c>
      <c r="Q9" s="34">
        <f t="shared" si="2"/>
        <v>0</v>
      </c>
      <c r="R9" s="19"/>
      <c r="S9" s="16"/>
    </row>
    <row r="10">
      <c r="A10" s="16"/>
      <c r="B10" s="19"/>
      <c r="C10" s="30">
        <v>7.0</v>
      </c>
      <c r="D10" s="31" t="s">
        <v>31</v>
      </c>
      <c r="E10" s="15"/>
      <c r="F10" s="32"/>
      <c r="G10" s="33" t="str">
        <f>"[-] "&amp;G22</f>
        <v>[-] Tổng chi phí</v>
      </c>
      <c r="H10" s="34">
        <f t="shared" ref="H10:Q10" si="3">round(sum(H26:H34),0)</f>
        <v>155470</v>
      </c>
      <c r="I10" s="34">
        <f t="shared" si="3"/>
        <v>218083</v>
      </c>
      <c r="J10" s="34">
        <f t="shared" si="3"/>
        <v>217190</v>
      </c>
      <c r="K10" s="34">
        <f t="shared" si="3"/>
        <v>109042</v>
      </c>
      <c r="L10" s="34">
        <f t="shared" si="3"/>
        <v>155470</v>
      </c>
      <c r="M10" s="34">
        <f t="shared" si="3"/>
        <v>109042</v>
      </c>
      <c r="N10" s="34">
        <f t="shared" si="3"/>
        <v>155470</v>
      </c>
      <c r="O10" s="34">
        <f t="shared" si="3"/>
        <v>62167</v>
      </c>
      <c r="P10" s="34">
        <f t="shared" si="3"/>
        <v>93304</v>
      </c>
      <c r="Q10" s="34">
        <f t="shared" si="3"/>
        <v>46429</v>
      </c>
      <c r="R10" s="19"/>
      <c r="S10" s="16"/>
    </row>
    <row r="11">
      <c r="A11" s="16"/>
      <c r="B11" s="19"/>
      <c r="C11" s="30">
        <v>8.0</v>
      </c>
      <c r="D11" s="31" t="s">
        <v>32</v>
      </c>
      <c r="E11" s="15"/>
      <c r="F11" s="36"/>
      <c r="G11" s="37" t="str">
        <f>"[-] "&amp;G36</f>
        <v>[-] Bù trừ nợ đợt trước</v>
      </c>
      <c r="H11" s="38">
        <f t="shared" ref="H11:Q11" si="4">Sum(H38:H46)</f>
        <v>0</v>
      </c>
      <c r="I11" s="38">
        <f t="shared" si="4"/>
        <v>0</v>
      </c>
      <c r="J11" s="38">
        <f t="shared" si="4"/>
        <v>0</v>
      </c>
      <c r="K11" s="38">
        <f t="shared" si="4"/>
        <v>0</v>
      </c>
      <c r="L11" s="38">
        <f t="shared" si="4"/>
        <v>0</v>
      </c>
      <c r="M11" s="38">
        <f t="shared" si="4"/>
        <v>0</v>
      </c>
      <c r="N11" s="38">
        <f t="shared" si="4"/>
        <v>0</v>
      </c>
      <c r="O11" s="38">
        <f t="shared" si="4"/>
        <v>0</v>
      </c>
      <c r="P11" s="38">
        <f t="shared" si="4"/>
        <v>0</v>
      </c>
      <c r="Q11" s="38">
        <f t="shared" si="4"/>
        <v>0</v>
      </c>
      <c r="R11" s="19"/>
      <c r="S11" s="16"/>
    </row>
    <row r="12">
      <c r="A12" s="16"/>
      <c r="B12" s="19"/>
      <c r="F12" s="36"/>
      <c r="G12" s="39" t="s">
        <v>36</v>
      </c>
      <c r="H12" s="40">
        <f t="shared" ref="H12:Q12" si="5">H9-H10-H11</f>
        <v>671197</v>
      </c>
      <c r="I12" s="40">
        <f t="shared" si="5"/>
        <v>-218083</v>
      </c>
      <c r="J12" s="40">
        <f t="shared" si="5"/>
        <v>-217190</v>
      </c>
      <c r="K12" s="40">
        <f t="shared" si="5"/>
        <v>-109042</v>
      </c>
      <c r="L12" s="40">
        <f t="shared" si="5"/>
        <v>289530</v>
      </c>
      <c r="M12" s="40">
        <f t="shared" si="5"/>
        <v>-109042</v>
      </c>
      <c r="N12" s="40">
        <f t="shared" si="5"/>
        <v>-155470</v>
      </c>
      <c r="O12" s="40">
        <f t="shared" si="5"/>
        <v>-12167</v>
      </c>
      <c r="P12" s="40">
        <f t="shared" si="5"/>
        <v>-93304</v>
      </c>
      <c r="Q12" s="40">
        <f t="shared" si="5"/>
        <v>-46429</v>
      </c>
      <c r="R12" s="19"/>
      <c r="S12" s="16"/>
    </row>
    <row r="13" ht="6.0" customHeight="1">
      <c r="A13" s="41"/>
      <c r="B13" s="42"/>
      <c r="C13" s="43"/>
      <c r="D13" s="43"/>
      <c r="F13" s="42"/>
      <c r="G13" s="44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2"/>
      <c r="S13" s="41"/>
    </row>
    <row r="14">
      <c r="A14" s="41"/>
      <c r="B14" s="42"/>
      <c r="F14" s="42"/>
      <c r="G14" s="46" t="s">
        <v>38</v>
      </c>
      <c r="H14" s="47" t="str">
        <f t="shared" ref="H14:Q14" si="6">if(H12&lt;0,"Chuyển tiền","Nhận tiền")</f>
        <v>Nhận tiền</v>
      </c>
      <c r="I14" s="47" t="str">
        <f t="shared" si="6"/>
        <v>Chuyển tiền</v>
      </c>
      <c r="J14" s="47" t="str">
        <f t="shared" si="6"/>
        <v>Chuyển tiền</v>
      </c>
      <c r="K14" s="47" t="str">
        <f t="shared" si="6"/>
        <v>Chuyển tiền</v>
      </c>
      <c r="L14" s="47" t="str">
        <f t="shared" si="6"/>
        <v>Nhận tiền</v>
      </c>
      <c r="M14" s="47" t="str">
        <f t="shared" si="6"/>
        <v>Chuyển tiền</v>
      </c>
      <c r="N14" s="47" t="str">
        <f t="shared" si="6"/>
        <v>Chuyển tiền</v>
      </c>
      <c r="O14" s="47" t="str">
        <f t="shared" si="6"/>
        <v>Chuyển tiền</v>
      </c>
      <c r="P14" s="47" t="str">
        <f t="shared" si="6"/>
        <v>Chuyển tiền</v>
      </c>
      <c r="Q14" s="47" t="str">
        <f t="shared" si="6"/>
        <v>Chuyển tiền</v>
      </c>
      <c r="R14" s="42"/>
      <c r="S14" s="41"/>
    </row>
    <row r="15" ht="6.75" customHeight="1">
      <c r="A15" s="48"/>
      <c r="B15" s="49"/>
      <c r="C15" s="50"/>
      <c r="D15" s="50"/>
      <c r="E15" s="49"/>
      <c r="F15" s="49"/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49"/>
      <c r="S15" s="48"/>
    </row>
    <row r="16">
      <c r="A16" s="48"/>
      <c r="B16" s="49"/>
      <c r="C16" s="50"/>
      <c r="D16" s="50"/>
      <c r="E16" s="49"/>
      <c r="F16" s="49"/>
      <c r="G16" s="53" t="s">
        <v>39</v>
      </c>
      <c r="H16" s="54">
        <f>-sum(I16:Q16)</f>
        <v>-633602</v>
      </c>
      <c r="I16" s="55"/>
      <c r="J16" s="55">
        <f>-J12</f>
        <v>217190</v>
      </c>
      <c r="K16" s="55"/>
      <c r="L16" s="55"/>
      <c r="M16" s="55">
        <f t="shared" ref="M16:Q16" si="7">-M12</f>
        <v>109042</v>
      </c>
      <c r="N16" s="55">
        <f t="shared" si="7"/>
        <v>155470</v>
      </c>
      <c r="O16" s="55">
        <f t="shared" si="7"/>
        <v>12167</v>
      </c>
      <c r="P16" s="55">
        <f t="shared" si="7"/>
        <v>93304</v>
      </c>
      <c r="Q16" s="55">
        <f t="shared" si="7"/>
        <v>46429</v>
      </c>
      <c r="R16" s="49"/>
      <c r="S16" s="48"/>
    </row>
    <row r="17" ht="6.0" customHeight="1">
      <c r="A17" s="16"/>
      <c r="B17" s="19"/>
      <c r="C17" s="50"/>
      <c r="D17" s="5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6"/>
    </row>
    <row r="18">
      <c r="A18" s="16"/>
      <c r="B18" s="19"/>
      <c r="C18" s="50"/>
      <c r="D18" s="50"/>
      <c r="E18" s="19"/>
      <c r="F18" s="19"/>
      <c r="G18" s="51" t="s">
        <v>41</v>
      </c>
      <c r="H18" s="56">
        <f t="shared" ref="H18:Q18" si="8">H12+H16</f>
        <v>37595</v>
      </c>
      <c r="I18" s="56">
        <f t="shared" si="8"/>
        <v>-218083</v>
      </c>
      <c r="J18" s="56">
        <f t="shared" si="8"/>
        <v>0</v>
      </c>
      <c r="K18" s="56">
        <f t="shared" si="8"/>
        <v>-109042</v>
      </c>
      <c r="L18" s="56">
        <f t="shared" si="8"/>
        <v>289530</v>
      </c>
      <c r="M18" s="56">
        <f t="shared" si="8"/>
        <v>0</v>
      </c>
      <c r="N18" s="56">
        <f t="shared" si="8"/>
        <v>0</v>
      </c>
      <c r="O18" s="56">
        <f t="shared" si="8"/>
        <v>0</v>
      </c>
      <c r="P18" s="56">
        <f t="shared" si="8"/>
        <v>0</v>
      </c>
      <c r="Q18" s="56">
        <f t="shared" si="8"/>
        <v>0</v>
      </c>
      <c r="R18" s="19"/>
      <c r="S18" s="16"/>
    </row>
    <row r="19" ht="24.75" customHeight="1">
      <c r="A19" s="57"/>
      <c r="B19" s="58"/>
      <c r="C19" s="59"/>
      <c r="D19" s="59"/>
      <c r="E19" s="59"/>
      <c r="F19" s="60"/>
      <c r="G19" s="61" t="s">
        <v>42</v>
      </c>
      <c r="H19" s="62" t="str">
        <f t="shared" ref="H19:L19" si="9">IF(AND(H18&gt;=-3000,H18&lt;=1000), "Done", "")</f>
        <v/>
      </c>
      <c r="I19" s="62" t="str">
        <f t="shared" si="9"/>
        <v/>
      </c>
      <c r="J19" s="62" t="str">
        <f t="shared" si="9"/>
        <v>Done</v>
      </c>
      <c r="K19" s="62" t="str">
        <f t="shared" si="9"/>
        <v/>
      </c>
      <c r="L19" s="62" t="str">
        <f t="shared" si="9"/>
        <v/>
      </c>
      <c r="M19" s="62" t="str">
        <f t="shared" ref="M19:O19" si="10">IF(AND(M18&gt;=-3000,M18&lt;=2000), "Done", "")</f>
        <v>Done</v>
      </c>
      <c r="N19" s="62" t="str">
        <f t="shared" si="10"/>
        <v>Done</v>
      </c>
      <c r="O19" s="62" t="str">
        <f t="shared" si="10"/>
        <v>Done</v>
      </c>
      <c r="P19" s="62" t="str">
        <f t="shared" ref="P19:Q19" si="11">IF(AND(P18&gt;=-3000,P18&lt;=1000), "Done", "")</f>
        <v>Done</v>
      </c>
      <c r="Q19" s="62" t="str">
        <f t="shared" si="11"/>
        <v>Done</v>
      </c>
      <c r="R19" s="19"/>
      <c r="S19" s="16"/>
    </row>
    <row r="20" ht="6.0" customHeight="1">
      <c r="A20" s="63"/>
      <c r="B20" s="64"/>
      <c r="C20" s="65"/>
      <c r="D20" s="65"/>
      <c r="E20" s="65"/>
      <c r="F20" s="65"/>
      <c r="G20" s="66"/>
      <c r="H20" s="66"/>
      <c r="I20" s="66"/>
      <c r="J20" s="67"/>
      <c r="K20" s="66"/>
      <c r="L20" s="66"/>
      <c r="M20" s="66"/>
      <c r="N20" s="66"/>
      <c r="O20" s="66"/>
      <c r="P20" s="66"/>
      <c r="Q20" s="66"/>
      <c r="R20" s="8"/>
      <c r="S20" s="2"/>
    </row>
    <row r="21" ht="32.25" customHeight="1">
      <c r="A21" s="63"/>
      <c r="B21" s="64"/>
      <c r="C21" s="68" t="s">
        <v>43</v>
      </c>
      <c r="D21" s="59"/>
      <c r="E21" s="59"/>
      <c r="F21" s="69"/>
      <c r="G21" s="70"/>
      <c r="H21" s="70"/>
      <c r="I21" s="70"/>
      <c r="J21" s="71"/>
      <c r="K21" s="70"/>
      <c r="L21" s="70"/>
      <c r="M21" s="70"/>
      <c r="N21" s="70"/>
      <c r="O21" s="70"/>
      <c r="P21" s="70"/>
      <c r="Q21" s="70"/>
      <c r="R21" s="8"/>
      <c r="S21" s="2"/>
    </row>
    <row r="22" ht="21.75" customHeight="1">
      <c r="A22" s="57"/>
      <c r="B22" s="58"/>
      <c r="C22" s="72" t="s">
        <v>44</v>
      </c>
      <c r="F22" s="60"/>
      <c r="G22" s="73" t="s">
        <v>45</v>
      </c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9"/>
      <c r="S22" s="16"/>
    </row>
    <row r="23" ht="5.25" customHeight="1">
      <c r="A23" s="57"/>
      <c r="B23" s="74"/>
      <c r="C23" s="74"/>
      <c r="D23" s="74"/>
      <c r="E23" s="75"/>
      <c r="F23" s="76"/>
      <c r="G23" s="23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7"/>
      <c r="S23" s="16"/>
    </row>
    <row r="24">
      <c r="A24" s="57"/>
      <c r="B24" s="58"/>
      <c r="C24" s="77" t="s">
        <v>46</v>
      </c>
      <c r="D24" s="77" t="s">
        <v>47</v>
      </c>
      <c r="E24" s="78" t="s">
        <v>48</v>
      </c>
      <c r="F24" s="79" t="s">
        <v>49</v>
      </c>
      <c r="G24" s="28" t="s">
        <v>50</v>
      </c>
      <c r="H24" s="29" t="str">
        <f t="shared" ref="H24:Q24" si="12">H8</f>
        <v>Toàn</v>
      </c>
      <c r="I24" s="29" t="str">
        <f t="shared" si="12"/>
        <v>Trường + Thủy</v>
      </c>
      <c r="J24" s="29" t="str">
        <f t="shared" si="12"/>
        <v>Băng + Tâm</v>
      </c>
      <c r="K24" s="29" t="str">
        <f t="shared" si="12"/>
        <v>Tú</v>
      </c>
      <c r="L24" s="29" t="str">
        <f t="shared" si="12"/>
        <v>Kiên</v>
      </c>
      <c r="M24" s="29" t="str">
        <f t="shared" si="12"/>
        <v>Thái</v>
      </c>
      <c r="N24" s="29" t="str">
        <f t="shared" si="12"/>
        <v>Thảo</v>
      </c>
      <c r="O24" s="29" t="str">
        <f t="shared" si="12"/>
        <v>Phan</v>
      </c>
      <c r="P24" s="29" t="str">
        <f t="shared" si="12"/>
        <v>Châu Linh</v>
      </c>
      <c r="Q24" s="29" t="str">
        <f t="shared" si="12"/>
        <v>Ngân</v>
      </c>
      <c r="R24" s="80" t="s">
        <v>8</v>
      </c>
      <c r="S24" s="16"/>
    </row>
    <row r="25">
      <c r="A25" s="81"/>
      <c r="B25" s="82"/>
      <c r="C25" s="82"/>
      <c r="D25" s="82"/>
      <c r="E25" s="83"/>
      <c r="F25" s="84"/>
      <c r="G25" s="85" t="s">
        <v>54</v>
      </c>
      <c r="H25" s="32"/>
      <c r="I25" s="32"/>
      <c r="J25" s="32"/>
      <c r="K25" s="32"/>
      <c r="L25" s="32"/>
      <c r="M25" s="32"/>
      <c r="N25" s="32"/>
      <c r="O25" s="32"/>
      <c r="P25" s="86"/>
      <c r="Q25" s="86"/>
      <c r="R25" s="42"/>
      <c r="S25" s="16"/>
    </row>
    <row r="26">
      <c r="A26" s="57"/>
      <c r="B26" s="82"/>
      <c r="C26" s="87">
        <f>265000+80000</f>
        <v>345000</v>
      </c>
      <c r="D26" s="87" t="str">
        <f>H24</f>
        <v>Toàn</v>
      </c>
      <c r="E26" s="88"/>
      <c r="F26" s="84" t="b">
        <f t="shared" ref="F26:F28" si="15">C26=sum(H26:Q26)</f>
        <v>1</v>
      </c>
      <c r="G26" s="33" t="s">
        <v>59</v>
      </c>
      <c r="H26" s="33">
        <f t="shared" ref="H26:H28" si="16">$C26/$C$9</f>
        <v>34500</v>
      </c>
      <c r="I26" s="33">
        <f t="shared" ref="I26:J26" si="13">$C26/$C$9*2</f>
        <v>69000</v>
      </c>
      <c r="J26" s="33">
        <f t="shared" si="13"/>
        <v>69000</v>
      </c>
      <c r="K26" s="33">
        <f t="shared" ref="K26:O26" si="14">$C26/$C$9</f>
        <v>34500</v>
      </c>
      <c r="L26" s="33">
        <f t="shared" si="14"/>
        <v>34500</v>
      </c>
      <c r="M26" s="33">
        <f t="shared" si="14"/>
        <v>34500</v>
      </c>
      <c r="N26" s="33">
        <f t="shared" si="14"/>
        <v>34500</v>
      </c>
      <c r="O26" s="33">
        <f t="shared" si="14"/>
        <v>34500</v>
      </c>
      <c r="P26" s="89"/>
      <c r="Q26" s="89"/>
      <c r="R26" s="42">
        <f t="shared" ref="R26:R28" si="19">COUNTIF(H26:Q26,"&lt;&gt;0")+2</f>
        <v>10</v>
      </c>
      <c r="S26" s="16"/>
    </row>
    <row r="27">
      <c r="A27" s="81"/>
      <c r="B27" s="82"/>
      <c r="C27" s="87">
        <f>340000/12*8</f>
        <v>226666.6667</v>
      </c>
      <c r="D27" s="87" t="str">
        <f>H24</f>
        <v>Toàn</v>
      </c>
      <c r="E27" s="88" t="s">
        <v>55</v>
      </c>
      <c r="F27" s="84" t="b">
        <f t="shared" si="15"/>
        <v>1</v>
      </c>
      <c r="G27" s="33" t="s">
        <v>64</v>
      </c>
      <c r="H27" s="33">
        <f t="shared" si="16"/>
        <v>22666.66667</v>
      </c>
      <c r="I27" s="33">
        <f t="shared" ref="I27:J27" si="17">$C27/$C$9*2</f>
        <v>45333.33333</v>
      </c>
      <c r="J27" s="33">
        <f t="shared" si="17"/>
        <v>45333.33333</v>
      </c>
      <c r="K27" s="33">
        <f t="shared" ref="K27:O27" si="18">$C27/$C$9</f>
        <v>22666.66667</v>
      </c>
      <c r="L27" s="33">
        <f t="shared" si="18"/>
        <v>22666.66667</v>
      </c>
      <c r="M27" s="33">
        <f t="shared" si="18"/>
        <v>22666.66667</v>
      </c>
      <c r="N27" s="33">
        <f t="shared" si="18"/>
        <v>22666.66667</v>
      </c>
      <c r="O27" s="33">
        <f t="shared" si="18"/>
        <v>22666.66667</v>
      </c>
      <c r="P27" s="89"/>
      <c r="Q27" s="89"/>
      <c r="R27" s="42">
        <f t="shared" si="19"/>
        <v>10</v>
      </c>
      <c r="S27" s="16"/>
    </row>
    <row r="28">
      <c r="A28" s="81"/>
      <c r="B28" s="82"/>
      <c r="C28" s="87">
        <v>50000.0</v>
      </c>
      <c r="D28" s="87" t="str">
        <f>O24</f>
        <v>Phan</v>
      </c>
      <c r="E28" s="88"/>
      <c r="F28" s="84" t="b">
        <f t="shared" si="15"/>
        <v>1</v>
      </c>
      <c r="G28" s="33" t="s">
        <v>70</v>
      </c>
      <c r="H28" s="33">
        <f t="shared" si="16"/>
        <v>5000</v>
      </c>
      <c r="I28" s="33">
        <f t="shared" ref="I28:J28" si="20">$C28/$C$9*2</f>
        <v>10000</v>
      </c>
      <c r="J28" s="33">
        <f t="shared" si="20"/>
        <v>10000</v>
      </c>
      <c r="K28" s="33">
        <f t="shared" ref="K28:O28" si="21">$C28/$C$9</f>
        <v>5000</v>
      </c>
      <c r="L28" s="33">
        <f t="shared" si="21"/>
        <v>5000</v>
      </c>
      <c r="M28" s="33">
        <f t="shared" si="21"/>
        <v>5000</v>
      </c>
      <c r="N28" s="33">
        <f t="shared" si="21"/>
        <v>5000</v>
      </c>
      <c r="O28" s="33">
        <f t="shared" si="21"/>
        <v>5000</v>
      </c>
      <c r="P28" s="89"/>
      <c r="Q28" s="89"/>
      <c r="R28" s="42">
        <f t="shared" si="19"/>
        <v>10</v>
      </c>
      <c r="S28" s="16"/>
    </row>
    <row r="29">
      <c r="A29" s="81"/>
      <c r="B29" s="82"/>
      <c r="C29" s="82"/>
      <c r="D29" s="82"/>
      <c r="E29" s="83"/>
      <c r="F29" s="84"/>
      <c r="G29" s="85" t="s">
        <v>74</v>
      </c>
      <c r="H29" s="32"/>
      <c r="I29" s="32"/>
      <c r="J29" s="32"/>
      <c r="K29" s="32"/>
      <c r="L29" s="32"/>
      <c r="M29" s="32"/>
      <c r="N29" s="32"/>
      <c r="O29" s="32"/>
      <c r="P29" s="86"/>
      <c r="Q29" s="86"/>
      <c r="R29" s="42"/>
      <c r="S29" s="16"/>
    </row>
    <row r="30">
      <c r="A30" s="81"/>
      <c r="B30" s="82"/>
      <c r="C30" s="87">
        <v>240000.0</v>
      </c>
      <c r="D30" s="87" t="str">
        <f>L24</f>
        <v>Kiên</v>
      </c>
      <c r="E30" s="88"/>
      <c r="F30" s="84" t="b">
        <f t="shared" ref="F30:F31" si="23">C30=sum(H30:Q30)</f>
        <v>1</v>
      </c>
      <c r="G30" s="33" t="s">
        <v>77</v>
      </c>
      <c r="H30" s="33">
        <f t="shared" ref="H30:H31" si="24">$C30/$C$10</f>
        <v>34285.71429</v>
      </c>
      <c r="I30" s="89"/>
      <c r="J30" s="33">
        <f t="shared" ref="J30:J31" si="25">$C30/$C$10*2</f>
        <v>68571.42857</v>
      </c>
      <c r="K30" s="89"/>
      <c r="L30" s="33">
        <f t="shared" ref="L30:L31" si="26">$C30/$C$10</f>
        <v>34285.71429</v>
      </c>
      <c r="M30" s="89"/>
      <c r="N30" s="33">
        <f t="shared" ref="N30:N31" si="27">$C30/$C$10</f>
        <v>34285.71429</v>
      </c>
      <c r="O30" s="89"/>
      <c r="P30" s="33">
        <f t="shared" ref="P30:Q30" si="22">$C30/$C$10</f>
        <v>34285.71429</v>
      </c>
      <c r="Q30" s="33">
        <f t="shared" si="22"/>
        <v>34285.71429</v>
      </c>
      <c r="R30" s="42">
        <f t="shared" ref="R30:R31" si="29">COUNTIF(H30:Q30,"&lt;&gt;0")+1</f>
        <v>7</v>
      </c>
      <c r="S30" s="16"/>
    </row>
    <row r="31">
      <c r="A31" s="81"/>
      <c r="B31" s="82"/>
      <c r="C31" s="87">
        <f>340000/12*3</f>
        <v>85000</v>
      </c>
      <c r="D31" s="87" t="str">
        <f>H24</f>
        <v>Toàn</v>
      </c>
      <c r="E31" s="88" t="s">
        <v>55</v>
      </c>
      <c r="F31" s="84" t="b">
        <f t="shared" si="23"/>
        <v>1</v>
      </c>
      <c r="G31" s="33" t="s">
        <v>83</v>
      </c>
      <c r="H31" s="33">
        <f t="shared" si="24"/>
        <v>12142.85714</v>
      </c>
      <c r="I31" s="89"/>
      <c r="J31" s="33">
        <f t="shared" si="25"/>
        <v>24285.71429</v>
      </c>
      <c r="K31" s="89"/>
      <c r="L31" s="33">
        <f t="shared" si="26"/>
        <v>12142.85714</v>
      </c>
      <c r="M31" s="89"/>
      <c r="N31" s="33">
        <f t="shared" si="27"/>
        <v>12142.85714</v>
      </c>
      <c r="O31" s="89"/>
      <c r="P31" s="33">
        <f t="shared" ref="P31:Q31" si="28">$C31/$C$10</f>
        <v>12142.85714</v>
      </c>
      <c r="Q31" s="33">
        <f t="shared" si="28"/>
        <v>12142.85714</v>
      </c>
      <c r="R31" s="42">
        <f t="shared" si="29"/>
        <v>7</v>
      </c>
      <c r="S31" s="16"/>
    </row>
    <row r="32">
      <c r="A32" s="81"/>
      <c r="B32" s="82"/>
      <c r="C32" s="82"/>
      <c r="D32" s="82"/>
      <c r="E32" s="83"/>
      <c r="F32" s="84"/>
      <c r="G32" s="85" t="s">
        <v>85</v>
      </c>
      <c r="H32" s="32"/>
      <c r="I32" s="32"/>
      <c r="J32" s="32"/>
      <c r="K32" s="32"/>
      <c r="L32" s="32"/>
      <c r="M32" s="32"/>
      <c r="N32" s="32"/>
      <c r="O32" s="32"/>
      <c r="P32" s="86"/>
      <c r="Q32" s="86"/>
      <c r="R32" s="42"/>
      <c r="S32" s="16"/>
    </row>
    <row r="33">
      <c r="A33" s="81"/>
      <c r="B33" s="82"/>
      <c r="C33" s="87">
        <v>205000.0</v>
      </c>
      <c r="D33" s="87" t="str">
        <f>L24</f>
        <v>Kiên</v>
      </c>
      <c r="E33" s="88"/>
      <c r="F33" s="84" t="b">
        <f t="shared" ref="F33:F34" si="31">C33=sum(H33:Q33)</f>
        <v>1</v>
      </c>
      <c r="G33" s="33" t="s">
        <v>87</v>
      </c>
      <c r="H33" s="33">
        <f t="shared" ref="H33:H34" si="32">$C33/$C$11</f>
        <v>25625</v>
      </c>
      <c r="I33" s="33">
        <f t="shared" ref="I33:I34" si="33">$C33/$C$11*2</f>
        <v>51250</v>
      </c>
      <c r="J33" s="89"/>
      <c r="K33" s="33">
        <f t="shared" ref="K33:N33" si="30">$C33/$C$11</f>
        <v>25625</v>
      </c>
      <c r="L33" s="33">
        <f t="shared" si="30"/>
        <v>25625</v>
      </c>
      <c r="M33" s="33">
        <f t="shared" si="30"/>
        <v>25625</v>
      </c>
      <c r="N33" s="33">
        <f t="shared" si="30"/>
        <v>25625</v>
      </c>
      <c r="O33" s="89"/>
      <c r="P33" s="33">
        <f t="shared" ref="P33:P34" si="35">$C33/$C$11</f>
        <v>25625</v>
      </c>
      <c r="Q33" s="89"/>
      <c r="R33" s="42">
        <f t="shared" ref="R33:R34" si="36">COUNTIF(H33:Q33,"&lt;&gt;0")+1</f>
        <v>8</v>
      </c>
      <c r="S33" s="16"/>
    </row>
    <row r="34">
      <c r="A34" s="81"/>
      <c r="B34" s="82"/>
      <c r="C34" s="87">
        <f>340000/C11*4</f>
        <v>170000</v>
      </c>
      <c r="D34" s="87" t="str">
        <f>H24</f>
        <v>Toàn</v>
      </c>
      <c r="E34" s="88" t="s">
        <v>55</v>
      </c>
      <c r="F34" s="84" t="b">
        <f t="shared" si="31"/>
        <v>1</v>
      </c>
      <c r="G34" s="33" t="s">
        <v>89</v>
      </c>
      <c r="H34" s="33">
        <f t="shared" si="32"/>
        <v>21250</v>
      </c>
      <c r="I34" s="33">
        <f t="shared" si="33"/>
        <v>42500</v>
      </c>
      <c r="J34" s="89"/>
      <c r="K34" s="33">
        <f t="shared" ref="K34:N34" si="34">$C34/$C$11</f>
        <v>21250</v>
      </c>
      <c r="L34" s="33">
        <f t="shared" si="34"/>
        <v>21250</v>
      </c>
      <c r="M34" s="33">
        <f t="shared" si="34"/>
        <v>21250</v>
      </c>
      <c r="N34" s="33">
        <f t="shared" si="34"/>
        <v>21250</v>
      </c>
      <c r="O34" s="89"/>
      <c r="P34" s="33">
        <f t="shared" si="35"/>
        <v>21250</v>
      </c>
      <c r="Q34" s="89"/>
      <c r="R34" s="42">
        <f t="shared" si="36"/>
        <v>8</v>
      </c>
      <c r="S34" s="16"/>
    </row>
    <row r="35" ht="6.0" customHeight="1">
      <c r="A35" s="81"/>
      <c r="B35" s="82"/>
      <c r="C35" s="82"/>
      <c r="D35" s="82"/>
      <c r="E35" s="83"/>
      <c r="F35" s="84"/>
      <c r="G35" s="32"/>
      <c r="H35" s="19"/>
      <c r="I35" s="19"/>
      <c r="J35" s="19"/>
      <c r="K35" s="32"/>
      <c r="L35" s="32"/>
      <c r="M35" s="32"/>
      <c r="N35" s="32"/>
      <c r="O35" s="32"/>
      <c r="P35" s="32"/>
      <c r="Q35" s="32"/>
      <c r="R35" s="19"/>
      <c r="S35" s="16"/>
    </row>
    <row r="36" ht="18.0" customHeight="1">
      <c r="A36" s="81"/>
      <c r="B36" s="82"/>
      <c r="C36" s="82"/>
      <c r="D36" s="82"/>
      <c r="E36" s="83"/>
      <c r="F36" s="84"/>
      <c r="G36" s="73" t="s">
        <v>68</v>
      </c>
      <c r="H36" s="14"/>
      <c r="I36" s="14"/>
      <c r="J36" s="14"/>
      <c r="K36" s="14"/>
      <c r="L36" s="14"/>
      <c r="M36" s="14"/>
      <c r="N36" s="14"/>
      <c r="O36" s="14"/>
      <c r="P36" s="14"/>
      <c r="Q36" s="15"/>
      <c r="R36" s="19"/>
      <c r="S36" s="16"/>
    </row>
    <row r="37" ht="3.75" customHeight="1">
      <c r="A37" s="81"/>
      <c r="B37" s="82"/>
      <c r="C37" s="82"/>
      <c r="D37" s="82"/>
      <c r="E37" s="83"/>
      <c r="F37" s="84"/>
      <c r="G37" s="32"/>
      <c r="H37" s="19"/>
      <c r="I37" s="19"/>
      <c r="J37" s="19"/>
      <c r="K37" s="32"/>
      <c r="L37" s="32"/>
      <c r="M37" s="32"/>
      <c r="N37" s="32"/>
      <c r="O37" s="32"/>
      <c r="P37" s="32"/>
      <c r="Q37" s="32"/>
      <c r="R37" s="19"/>
      <c r="S37" s="16"/>
    </row>
    <row r="38">
      <c r="A38" s="81"/>
      <c r="B38" s="82"/>
      <c r="C38" s="82"/>
      <c r="D38" s="82"/>
      <c r="E38" s="83"/>
      <c r="F38" s="84" t="b">
        <f t="shared" ref="F38:F39" si="37">If(C38 - round(sum(H38:Q38),0) &lt; 5000, True, False)</f>
        <v>1</v>
      </c>
      <c r="G38" s="33" t="s">
        <v>93</v>
      </c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42">
        <f t="shared" ref="R38:R39" si="38">COUNTIF(H38:Q38,"&lt;&gt;0")</f>
        <v>0</v>
      </c>
      <c r="S38" s="16"/>
    </row>
    <row r="39" ht="15.0" customHeight="1">
      <c r="A39" s="2"/>
      <c r="B39" s="8"/>
      <c r="C39" s="90"/>
      <c r="D39" s="8"/>
      <c r="E39" s="91"/>
      <c r="F39" s="84" t="b">
        <f t="shared" si="37"/>
        <v>1</v>
      </c>
      <c r="G39" s="3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42">
        <f t="shared" si="38"/>
        <v>0</v>
      </c>
      <c r="S39" s="2"/>
    </row>
    <row r="40" ht="15.0" customHeight="1">
      <c r="A40" s="2"/>
      <c r="B40" s="8"/>
      <c r="C40" s="90"/>
      <c r="D40" s="8"/>
      <c r="E40" s="91"/>
      <c r="F40" s="92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2"/>
    </row>
    <row r="41" ht="15.0" customHeight="1">
      <c r="A41" s="2"/>
      <c r="B41" s="8"/>
      <c r="C41" s="93" t="s">
        <v>81</v>
      </c>
      <c r="D41" s="8"/>
      <c r="E41" s="91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2"/>
    </row>
    <row r="42" ht="12.75" customHeight="1">
      <c r="A42" s="16"/>
      <c r="B42" s="19"/>
      <c r="C42" s="94"/>
      <c r="D42" s="95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19"/>
      <c r="S42" s="16"/>
    </row>
    <row r="43" ht="12.75" customHeight="1">
      <c r="A43" s="16"/>
      <c r="B43" s="19"/>
      <c r="C43" s="94"/>
      <c r="D43" s="98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19"/>
      <c r="S43" s="16"/>
    </row>
    <row r="44" ht="12.75" customHeight="1">
      <c r="A44" s="16"/>
      <c r="B44" s="19"/>
      <c r="C44" s="101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9"/>
      <c r="S44" s="16"/>
    </row>
    <row r="45" ht="19.5" customHeight="1">
      <c r="A45" s="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</sheetData>
  <mergeCells count="11">
    <mergeCell ref="D13:E13"/>
    <mergeCell ref="C22:E22"/>
    <mergeCell ref="G22:Q22"/>
    <mergeCell ref="G36:Q36"/>
    <mergeCell ref="C3:D3"/>
    <mergeCell ref="G5:Q5"/>
    <mergeCell ref="C7:E7"/>
    <mergeCell ref="D8:E8"/>
    <mergeCell ref="D9:E9"/>
    <mergeCell ref="D10:E10"/>
    <mergeCell ref="D11:E11"/>
  </mergeCells>
  <conditionalFormatting sqref="A13:B14 F13:S14">
    <cfRule type="containsText" dxfId="0" priority="1" operator="containsText" text="Chuyển tiền">
      <formula>NOT(ISERROR(SEARCH(("Chuyển tiền"),(A13))))</formula>
    </cfRule>
  </conditionalFormatting>
  <conditionalFormatting sqref="A13:B14 F13:S14">
    <cfRule type="containsText" dxfId="1" priority="2" operator="containsText" text="Nhận tiền">
      <formula>NOT(ISERROR(SEARCH(("Nhận tiền"),(A13))))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3" max="19" width="11.75"/>
    <col customWidth="1" min="20" max="20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2"/>
    </row>
    <row r="3" ht="16.5" customHeight="1">
      <c r="A3" s="2"/>
      <c r="B3" s="4"/>
      <c r="C3" s="6" t="s">
        <v>19</v>
      </c>
      <c r="D3" s="7"/>
      <c r="E3" s="8"/>
      <c r="F3" s="8"/>
      <c r="G3" s="9" t="s">
        <v>3</v>
      </c>
      <c r="H3" s="10">
        <f t="shared" ref="H3:R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10">
        <f t="shared" si="1"/>
        <v>9</v>
      </c>
      <c r="Q3" s="10">
        <f t="shared" si="1"/>
        <v>10</v>
      </c>
      <c r="R3" s="10">
        <f t="shared" si="1"/>
        <v>11</v>
      </c>
      <c r="S3" s="5"/>
      <c r="T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/>
      <c r="T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8"/>
      <c r="T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19"/>
      <c r="T6" s="16"/>
    </row>
    <row r="7" ht="15.75" customHeight="1">
      <c r="A7" s="16"/>
      <c r="B7" s="17"/>
      <c r="C7" s="22" t="s">
        <v>6</v>
      </c>
      <c r="D7" s="14"/>
      <c r="E7" s="15"/>
      <c r="F7" s="19"/>
      <c r="G7" s="23"/>
      <c r="H7" s="24"/>
      <c r="I7" s="24"/>
      <c r="J7" s="24"/>
      <c r="K7" s="24"/>
      <c r="L7" s="24"/>
      <c r="M7" s="25" t="s">
        <v>7</v>
      </c>
      <c r="N7" s="25" t="s">
        <v>7</v>
      </c>
      <c r="O7" s="25" t="s">
        <v>7</v>
      </c>
      <c r="P7" s="25" t="s">
        <v>7</v>
      </c>
      <c r="Q7" s="24"/>
      <c r="R7" s="24"/>
      <c r="S7" s="19"/>
      <c r="T7" s="16"/>
    </row>
    <row r="8" ht="18.0" customHeight="1">
      <c r="A8" s="16"/>
      <c r="B8" s="17"/>
      <c r="C8" s="26" t="s">
        <v>8</v>
      </c>
      <c r="D8" s="27" t="s">
        <v>9</v>
      </c>
      <c r="E8" s="15"/>
      <c r="F8" s="19"/>
      <c r="G8" s="28" t="s">
        <v>10</v>
      </c>
      <c r="H8" s="29" t="s">
        <v>11</v>
      </c>
      <c r="I8" s="29" t="s">
        <v>12</v>
      </c>
      <c r="J8" s="29" t="s">
        <v>13</v>
      </c>
      <c r="K8" s="29" t="s">
        <v>14</v>
      </c>
      <c r="L8" s="29" t="s">
        <v>15</v>
      </c>
      <c r="M8" s="29" t="s">
        <v>16</v>
      </c>
      <c r="N8" s="29" t="s">
        <v>17</v>
      </c>
      <c r="O8" s="29" t="s">
        <v>33</v>
      </c>
      <c r="P8" s="29" t="s">
        <v>34</v>
      </c>
      <c r="Q8" s="29" t="s">
        <v>35</v>
      </c>
      <c r="R8" s="29" t="s">
        <v>21</v>
      </c>
      <c r="S8" s="19"/>
      <c r="T8" s="16"/>
    </row>
    <row r="9">
      <c r="A9" s="16"/>
      <c r="B9" s="19"/>
      <c r="C9" s="30">
        <v>9.0</v>
      </c>
      <c r="D9" s="31" t="s">
        <v>37</v>
      </c>
      <c r="E9" s="15"/>
      <c r="F9" s="32"/>
      <c r="G9" s="33" t="str">
        <f>C22</f>
        <v>Tổng ứng trước</v>
      </c>
      <c r="H9" s="34">
        <f t="shared" ref="H9:R9" si="2">round(sumif($D:$D,H8,$C:$C),0)</f>
        <v>1308000</v>
      </c>
      <c r="I9" s="34">
        <f t="shared" si="2"/>
        <v>0</v>
      </c>
      <c r="J9" s="34">
        <f t="shared" si="2"/>
        <v>0</v>
      </c>
      <c r="K9" s="34">
        <f t="shared" si="2"/>
        <v>0</v>
      </c>
      <c r="L9" s="34">
        <f t="shared" si="2"/>
        <v>14000</v>
      </c>
      <c r="M9" s="34">
        <f t="shared" si="2"/>
        <v>0</v>
      </c>
      <c r="N9" s="34">
        <f t="shared" si="2"/>
        <v>7000</v>
      </c>
      <c r="O9" s="34">
        <f t="shared" si="2"/>
        <v>0</v>
      </c>
      <c r="P9" s="34">
        <f t="shared" si="2"/>
        <v>0</v>
      </c>
      <c r="Q9" s="34">
        <f t="shared" si="2"/>
        <v>0</v>
      </c>
      <c r="R9" s="34">
        <f t="shared" si="2"/>
        <v>30000</v>
      </c>
      <c r="S9" s="19"/>
      <c r="T9" s="16"/>
    </row>
    <row r="10">
      <c r="A10" s="16"/>
      <c r="B10" s="19"/>
      <c r="C10" s="30">
        <v>6.0</v>
      </c>
      <c r="D10" s="31" t="s">
        <v>40</v>
      </c>
      <c r="E10" s="15"/>
      <c r="F10" s="32"/>
      <c r="G10" s="33" t="str">
        <f>"[-] "&amp;G22</f>
        <v>[-] Tổng chi phí</v>
      </c>
      <c r="H10" s="34">
        <f t="shared" ref="H10:R10" si="3">round(sum(H26:H41),0)</f>
        <v>289741</v>
      </c>
      <c r="I10" s="34">
        <f t="shared" si="3"/>
        <v>227259</v>
      </c>
      <c r="J10" s="34">
        <f t="shared" si="3"/>
        <v>0</v>
      </c>
      <c r="K10" s="34">
        <f t="shared" si="3"/>
        <v>202907</v>
      </c>
      <c r="L10" s="34">
        <f t="shared" si="3"/>
        <v>156278</v>
      </c>
      <c r="M10" s="34">
        <f t="shared" si="3"/>
        <v>75463</v>
      </c>
      <c r="N10" s="34">
        <f t="shared" si="3"/>
        <v>75463</v>
      </c>
      <c r="O10" s="34">
        <f t="shared" si="3"/>
        <v>75463</v>
      </c>
      <c r="P10" s="34">
        <f t="shared" si="3"/>
        <v>37963</v>
      </c>
      <c r="Q10" s="34">
        <f t="shared" si="3"/>
        <v>66667</v>
      </c>
      <c r="R10" s="34">
        <f t="shared" si="3"/>
        <v>151796</v>
      </c>
      <c r="S10" s="19"/>
      <c r="T10" s="16"/>
    </row>
    <row r="11">
      <c r="A11" s="16"/>
      <c r="B11" s="19"/>
      <c r="C11" s="35"/>
      <c r="D11" s="35"/>
      <c r="F11" s="36"/>
      <c r="G11" s="37" t="str">
        <f>"[-] "&amp;G43</f>
        <v>[-] Bù trừ nợ đợt trước</v>
      </c>
      <c r="H11" s="38">
        <f t="shared" ref="H11:R11" si="4">Sum(H45:H55)</f>
        <v>-164708</v>
      </c>
      <c r="I11" s="38">
        <f t="shared" si="4"/>
        <v>-96814.33333</v>
      </c>
      <c r="J11" s="38">
        <f t="shared" si="4"/>
        <v>-25000</v>
      </c>
      <c r="K11" s="38">
        <f t="shared" si="4"/>
        <v>0</v>
      </c>
      <c r="L11" s="38">
        <f t="shared" si="4"/>
        <v>387724.3333</v>
      </c>
      <c r="M11" s="38">
        <f t="shared" si="4"/>
        <v>0</v>
      </c>
      <c r="N11" s="38">
        <f t="shared" si="4"/>
        <v>0</v>
      </c>
      <c r="O11" s="38">
        <f t="shared" si="4"/>
        <v>0</v>
      </c>
      <c r="P11" s="38">
        <f t="shared" si="4"/>
        <v>0</v>
      </c>
      <c r="Q11" s="38">
        <f t="shared" si="4"/>
        <v>-40000</v>
      </c>
      <c r="R11" s="38">
        <f t="shared" si="4"/>
        <v>-60000</v>
      </c>
      <c r="S11" s="19"/>
      <c r="T11" s="16"/>
    </row>
    <row r="12">
      <c r="A12" s="16"/>
      <c r="B12" s="19"/>
      <c r="F12" s="36"/>
      <c r="G12" s="39" t="s">
        <v>36</v>
      </c>
      <c r="H12" s="40">
        <f t="shared" ref="H12:R12" si="5">H9-H10-H11</f>
        <v>1182967</v>
      </c>
      <c r="I12" s="40">
        <f t="shared" si="5"/>
        <v>-130444.6667</v>
      </c>
      <c r="J12" s="40">
        <f t="shared" si="5"/>
        <v>25000</v>
      </c>
      <c r="K12" s="40">
        <f t="shared" si="5"/>
        <v>-202907</v>
      </c>
      <c r="L12" s="40">
        <f t="shared" si="5"/>
        <v>-530002.3333</v>
      </c>
      <c r="M12" s="40">
        <f t="shared" si="5"/>
        <v>-75463</v>
      </c>
      <c r="N12" s="40">
        <f t="shared" si="5"/>
        <v>-68463</v>
      </c>
      <c r="O12" s="40">
        <f t="shared" si="5"/>
        <v>-75463</v>
      </c>
      <c r="P12" s="40">
        <f t="shared" si="5"/>
        <v>-37963</v>
      </c>
      <c r="Q12" s="40">
        <f t="shared" si="5"/>
        <v>-26667</v>
      </c>
      <c r="R12" s="40">
        <f t="shared" si="5"/>
        <v>-61796</v>
      </c>
      <c r="S12" s="19"/>
      <c r="T12" s="16"/>
    </row>
    <row r="13" ht="6.0" customHeight="1">
      <c r="A13" s="41"/>
      <c r="B13" s="42"/>
      <c r="C13" s="43"/>
      <c r="D13" s="43"/>
      <c r="F13" s="42"/>
      <c r="G13" s="44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2"/>
      <c r="T13" s="41"/>
    </row>
    <row r="14">
      <c r="A14" s="41"/>
      <c r="B14" s="42"/>
      <c r="F14" s="42"/>
      <c r="G14" s="46" t="s">
        <v>38</v>
      </c>
      <c r="H14" s="47" t="str">
        <f t="shared" ref="H14:R14" si="6">if(H12&lt;0,"Chuyển tiền","Nhận tiền")</f>
        <v>Nhận tiền</v>
      </c>
      <c r="I14" s="47" t="str">
        <f t="shared" si="6"/>
        <v>Chuyển tiền</v>
      </c>
      <c r="J14" s="47" t="str">
        <f t="shared" si="6"/>
        <v>Nhận tiền</v>
      </c>
      <c r="K14" s="47" t="str">
        <f t="shared" si="6"/>
        <v>Chuyển tiền</v>
      </c>
      <c r="L14" s="47" t="str">
        <f t="shared" si="6"/>
        <v>Chuyển tiền</v>
      </c>
      <c r="M14" s="47" t="str">
        <f t="shared" si="6"/>
        <v>Chuyển tiền</v>
      </c>
      <c r="N14" s="47" t="str">
        <f t="shared" si="6"/>
        <v>Chuyển tiền</v>
      </c>
      <c r="O14" s="47" t="str">
        <f t="shared" si="6"/>
        <v>Chuyển tiền</v>
      </c>
      <c r="P14" s="47" t="str">
        <f t="shared" si="6"/>
        <v>Chuyển tiền</v>
      </c>
      <c r="Q14" s="47" t="str">
        <f t="shared" si="6"/>
        <v>Chuyển tiền</v>
      </c>
      <c r="R14" s="47" t="str">
        <f t="shared" si="6"/>
        <v>Chuyển tiền</v>
      </c>
      <c r="S14" s="42"/>
      <c r="T14" s="41"/>
    </row>
    <row r="15" ht="6.75" customHeight="1">
      <c r="A15" s="48"/>
      <c r="B15" s="49"/>
      <c r="C15" s="50"/>
      <c r="D15" s="50"/>
      <c r="E15" s="49"/>
      <c r="F15" s="49"/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49"/>
      <c r="T15" s="48"/>
    </row>
    <row r="16">
      <c r="A16" s="48"/>
      <c r="B16" s="49"/>
      <c r="C16" s="50"/>
      <c r="D16" s="50"/>
      <c r="E16" s="49"/>
      <c r="F16" s="49"/>
      <c r="G16" s="53" t="s">
        <v>39</v>
      </c>
      <c r="H16" s="54">
        <f>-sum(I16:R16)</f>
        <v>-1144539</v>
      </c>
      <c r="I16" s="55">
        <f>-I12</f>
        <v>130444.6667</v>
      </c>
      <c r="J16" s="55"/>
      <c r="K16" s="55">
        <f t="shared" ref="K16:O16" si="7">-K12</f>
        <v>202907</v>
      </c>
      <c r="L16" s="55">
        <f t="shared" si="7"/>
        <v>530002.3333</v>
      </c>
      <c r="M16" s="55">
        <f t="shared" si="7"/>
        <v>75463</v>
      </c>
      <c r="N16" s="55">
        <f t="shared" si="7"/>
        <v>68463</v>
      </c>
      <c r="O16" s="55">
        <f t="shared" si="7"/>
        <v>75463</v>
      </c>
      <c r="P16" s="55"/>
      <c r="Q16" s="55"/>
      <c r="R16" s="55">
        <f>-R12</f>
        <v>61796</v>
      </c>
      <c r="S16" s="49"/>
      <c r="T16" s="48"/>
    </row>
    <row r="17" ht="6.0" customHeight="1">
      <c r="A17" s="16"/>
      <c r="B17" s="19"/>
      <c r="C17" s="50"/>
      <c r="D17" s="5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6"/>
    </row>
    <row r="18">
      <c r="A18" s="16"/>
      <c r="B18" s="19"/>
      <c r="C18" s="50"/>
      <c r="D18" s="50"/>
      <c r="E18" s="19"/>
      <c r="F18" s="19"/>
      <c r="G18" s="51" t="s">
        <v>41</v>
      </c>
      <c r="H18" s="56">
        <f t="shared" ref="H18:R18" si="8">H12+H16</f>
        <v>38428</v>
      </c>
      <c r="I18" s="56">
        <f t="shared" si="8"/>
        <v>0</v>
      </c>
      <c r="J18" s="56">
        <f t="shared" si="8"/>
        <v>25000</v>
      </c>
      <c r="K18" s="56">
        <f t="shared" si="8"/>
        <v>0</v>
      </c>
      <c r="L18" s="56">
        <f t="shared" si="8"/>
        <v>0</v>
      </c>
      <c r="M18" s="56">
        <f t="shared" si="8"/>
        <v>0</v>
      </c>
      <c r="N18" s="56">
        <f t="shared" si="8"/>
        <v>0</v>
      </c>
      <c r="O18" s="56">
        <f t="shared" si="8"/>
        <v>0</v>
      </c>
      <c r="P18" s="56">
        <f t="shared" si="8"/>
        <v>-37963</v>
      </c>
      <c r="Q18" s="56">
        <f t="shared" si="8"/>
        <v>-26667</v>
      </c>
      <c r="R18" s="56">
        <f t="shared" si="8"/>
        <v>0</v>
      </c>
      <c r="S18" s="19"/>
      <c r="T18" s="16"/>
    </row>
    <row r="19" ht="24.75" customHeight="1">
      <c r="A19" s="57"/>
      <c r="B19" s="58"/>
      <c r="C19" s="59"/>
      <c r="D19" s="59"/>
      <c r="E19" s="59"/>
      <c r="F19" s="60"/>
      <c r="G19" s="61" t="s">
        <v>42</v>
      </c>
      <c r="H19" s="62" t="str">
        <f t="shared" ref="H19:L19" si="9">IF(AND(H18&gt;=-3000,H18&lt;=1000), "Done", "")</f>
        <v/>
      </c>
      <c r="I19" s="62" t="str">
        <f t="shared" si="9"/>
        <v>Done</v>
      </c>
      <c r="J19" s="62" t="str">
        <f t="shared" si="9"/>
        <v/>
      </c>
      <c r="K19" s="62" t="str">
        <f t="shared" si="9"/>
        <v>Done</v>
      </c>
      <c r="L19" s="62" t="str">
        <f t="shared" si="9"/>
        <v>Done</v>
      </c>
      <c r="M19" s="62" t="str">
        <f t="shared" ref="M19:O19" si="10">IF(AND(M18&gt;=-3000,M18&lt;=2000), "Done", "")</f>
        <v>Done</v>
      </c>
      <c r="N19" s="62" t="str">
        <f t="shared" si="10"/>
        <v>Done</v>
      </c>
      <c r="O19" s="62" t="str">
        <f t="shared" si="10"/>
        <v>Done</v>
      </c>
      <c r="P19" s="62" t="str">
        <f>IF(AND(P18&gt;=-3000,P18&lt;=1000), "Done", "")</f>
        <v/>
      </c>
      <c r="Q19" s="62"/>
      <c r="R19" s="62" t="str">
        <f>IF(AND(R18&gt;=-3000,R18&lt;=1000), "Done", "")</f>
        <v>Done</v>
      </c>
      <c r="S19" s="19"/>
      <c r="T19" s="16"/>
    </row>
    <row r="20" ht="6.0" customHeight="1">
      <c r="A20" s="63"/>
      <c r="B20" s="64"/>
      <c r="C20" s="65"/>
      <c r="D20" s="65"/>
      <c r="E20" s="65"/>
      <c r="F20" s="65"/>
      <c r="G20" s="66"/>
      <c r="H20" s="66"/>
      <c r="I20" s="66"/>
      <c r="J20" s="67"/>
      <c r="K20" s="66"/>
      <c r="L20" s="66"/>
      <c r="M20" s="66"/>
      <c r="N20" s="66"/>
      <c r="O20" s="66"/>
      <c r="P20" s="66"/>
      <c r="Q20" s="66"/>
      <c r="R20" s="66"/>
      <c r="S20" s="8"/>
      <c r="T20" s="2"/>
    </row>
    <row r="21" ht="32.25" customHeight="1">
      <c r="A21" s="63"/>
      <c r="B21" s="64"/>
      <c r="C21" s="68" t="s">
        <v>43</v>
      </c>
      <c r="D21" s="59"/>
      <c r="E21" s="59"/>
      <c r="F21" s="69"/>
      <c r="G21" s="70"/>
      <c r="H21" s="70"/>
      <c r="I21" s="70"/>
      <c r="J21" s="71"/>
      <c r="K21" s="70"/>
      <c r="L21" s="70"/>
      <c r="M21" s="70"/>
      <c r="N21" s="70"/>
      <c r="O21" s="70"/>
      <c r="P21" s="70"/>
      <c r="Q21" s="70"/>
      <c r="R21" s="70"/>
      <c r="S21" s="8"/>
      <c r="T21" s="2"/>
    </row>
    <row r="22" ht="21.75" customHeight="1">
      <c r="A22" s="57"/>
      <c r="B22" s="58"/>
      <c r="C22" s="72" t="s">
        <v>44</v>
      </c>
      <c r="F22" s="60"/>
      <c r="G22" s="73" t="s">
        <v>45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  <c r="S22" s="19"/>
      <c r="T22" s="16"/>
    </row>
    <row r="23" ht="5.25" customHeight="1">
      <c r="A23" s="57"/>
      <c r="B23" s="74"/>
      <c r="C23" s="74"/>
      <c r="D23" s="74"/>
      <c r="E23" s="75"/>
      <c r="F23" s="76"/>
      <c r="G23" s="23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17"/>
      <c r="T23" s="16"/>
    </row>
    <row r="24">
      <c r="A24" s="57"/>
      <c r="B24" s="58"/>
      <c r="C24" s="77" t="s">
        <v>46</v>
      </c>
      <c r="D24" s="77" t="s">
        <v>47</v>
      </c>
      <c r="E24" s="78" t="s">
        <v>48</v>
      </c>
      <c r="F24" s="79" t="s">
        <v>49</v>
      </c>
      <c r="G24" s="28" t="s">
        <v>50</v>
      </c>
      <c r="H24" s="29" t="str">
        <f t="shared" ref="H24:R24" si="11">H8</f>
        <v>Toàn</v>
      </c>
      <c r="I24" s="29" t="str">
        <f t="shared" si="11"/>
        <v>Trường + Thủy</v>
      </c>
      <c r="J24" s="29" t="str">
        <f t="shared" si="11"/>
        <v>Băng + Tâm</v>
      </c>
      <c r="K24" s="29" t="str">
        <f t="shared" si="11"/>
        <v>Tú</v>
      </c>
      <c r="L24" s="29" t="str">
        <f t="shared" si="11"/>
        <v>Kiên</v>
      </c>
      <c r="M24" s="29" t="str">
        <f t="shared" si="11"/>
        <v>Thái</v>
      </c>
      <c r="N24" s="29" t="str">
        <f t="shared" si="11"/>
        <v>Thảo</v>
      </c>
      <c r="O24" s="29" t="str">
        <f t="shared" si="11"/>
        <v>Thanh</v>
      </c>
      <c r="P24" s="29" t="str">
        <f t="shared" si="11"/>
        <v>Thanh Tâm</v>
      </c>
      <c r="Q24" s="29" t="str">
        <f t="shared" si="11"/>
        <v>Thiện</v>
      </c>
      <c r="R24" s="29" t="str">
        <f t="shared" si="11"/>
        <v>Quân</v>
      </c>
      <c r="S24" s="80" t="s">
        <v>8</v>
      </c>
      <c r="T24" s="16"/>
    </row>
    <row r="25">
      <c r="A25" s="81"/>
      <c r="B25" s="82"/>
      <c r="C25" s="82"/>
      <c r="D25" s="82"/>
      <c r="E25" s="83"/>
      <c r="F25" s="84"/>
      <c r="G25" s="85" t="s">
        <v>69</v>
      </c>
      <c r="H25" s="32"/>
      <c r="I25" s="32"/>
      <c r="J25" s="32"/>
      <c r="K25" s="32"/>
      <c r="L25" s="32"/>
      <c r="M25" s="32"/>
      <c r="N25" s="32"/>
      <c r="O25" s="32"/>
      <c r="P25" s="86"/>
      <c r="Q25" s="86"/>
      <c r="R25" s="86"/>
      <c r="S25" s="42"/>
      <c r="T25" s="16"/>
    </row>
    <row r="26">
      <c r="A26" s="57"/>
      <c r="B26" s="82"/>
      <c r="C26" s="87">
        <v>200000.0</v>
      </c>
      <c r="D26" s="87" t="str">
        <f>H24</f>
        <v>Toàn</v>
      </c>
      <c r="E26" s="88"/>
      <c r="F26" s="84" t="b">
        <f t="shared" ref="F26:F29" si="13">C26=sum(H26:R26)</f>
        <v>1</v>
      </c>
      <c r="G26" s="33" t="s">
        <v>73</v>
      </c>
      <c r="H26" s="33">
        <f t="shared" ref="H26:H27" si="14">$C26/$C$9</f>
        <v>22222.22222</v>
      </c>
      <c r="I26" s="33">
        <f t="shared" ref="I26:I27" si="15">$C26/$C$9*2</f>
        <v>44444.44444</v>
      </c>
      <c r="J26" s="89"/>
      <c r="K26" s="33">
        <f t="shared" ref="K26:K27" si="16">$C26/$C$9</f>
        <v>22222.22222</v>
      </c>
      <c r="L26" s="89"/>
      <c r="M26" s="33">
        <f t="shared" ref="M26:P26" si="12">$C26/$C$9</f>
        <v>22222.22222</v>
      </c>
      <c r="N26" s="33">
        <f t="shared" si="12"/>
        <v>22222.22222</v>
      </c>
      <c r="O26" s="33">
        <f t="shared" si="12"/>
        <v>22222.22222</v>
      </c>
      <c r="P26" s="33">
        <f t="shared" si="12"/>
        <v>22222.22222</v>
      </c>
      <c r="Q26" s="89"/>
      <c r="R26" s="33">
        <f t="shared" ref="R26:R27" si="18">$C26/$C$9</f>
        <v>22222.22222</v>
      </c>
      <c r="S26" s="42">
        <f t="shared" ref="S26:S27" si="19">COUNTIF(H26:R26,"&lt;&gt;0")+1</f>
        <v>9</v>
      </c>
      <c r="T26" s="16"/>
    </row>
    <row r="27">
      <c r="A27" s="81"/>
      <c r="B27" s="82"/>
      <c r="C27" s="87">
        <f>340000/12*5</f>
        <v>141666.6667</v>
      </c>
      <c r="D27" s="87" t="str">
        <f>H24</f>
        <v>Toàn</v>
      </c>
      <c r="E27" s="88" t="s">
        <v>55</v>
      </c>
      <c r="F27" s="84" t="b">
        <f t="shared" si="13"/>
        <v>1</v>
      </c>
      <c r="G27" s="33" t="s">
        <v>80</v>
      </c>
      <c r="H27" s="33">
        <f t="shared" si="14"/>
        <v>15740.74074</v>
      </c>
      <c r="I27" s="33">
        <f t="shared" si="15"/>
        <v>31481.48148</v>
      </c>
      <c r="J27" s="89"/>
      <c r="K27" s="33">
        <f t="shared" si="16"/>
        <v>15740.74074</v>
      </c>
      <c r="L27" s="89"/>
      <c r="M27" s="33">
        <f t="shared" ref="M27:P27" si="17">$C27/$C$9</f>
        <v>15740.74074</v>
      </c>
      <c r="N27" s="33">
        <f t="shared" si="17"/>
        <v>15740.74074</v>
      </c>
      <c r="O27" s="33">
        <f t="shared" si="17"/>
        <v>15740.74074</v>
      </c>
      <c r="P27" s="33">
        <f t="shared" si="17"/>
        <v>15740.74074</v>
      </c>
      <c r="Q27" s="89"/>
      <c r="R27" s="33">
        <f t="shared" si="18"/>
        <v>15740.74074</v>
      </c>
      <c r="S27" s="42">
        <f t="shared" si="19"/>
        <v>9</v>
      </c>
      <c r="T27" s="16"/>
    </row>
    <row r="28">
      <c r="A28" s="81"/>
      <c r="B28" s="82"/>
      <c r="C28" s="87">
        <v>30000.0</v>
      </c>
      <c r="D28" s="87" t="str">
        <f>R24</f>
        <v>Quân</v>
      </c>
      <c r="E28" s="88"/>
      <c r="F28" s="84" t="b">
        <f t="shared" si="13"/>
        <v>1</v>
      </c>
      <c r="G28" s="33" t="s">
        <v>82</v>
      </c>
      <c r="H28" s="33">
        <f>$C28/2</f>
        <v>15000</v>
      </c>
      <c r="I28" s="89"/>
      <c r="J28" s="89"/>
      <c r="K28" s="33">
        <f>$C28/2</f>
        <v>15000</v>
      </c>
      <c r="L28" s="89"/>
      <c r="M28" s="89"/>
      <c r="N28" s="89"/>
      <c r="O28" s="89"/>
      <c r="P28" s="89"/>
      <c r="Q28" s="89"/>
      <c r="R28" s="89"/>
      <c r="S28" s="42">
        <f>COUNTIF(H28:R28,"&lt;&gt;0")</f>
        <v>2</v>
      </c>
      <c r="T28" s="16"/>
    </row>
    <row r="29">
      <c r="A29" s="81"/>
      <c r="B29" s="82"/>
      <c r="C29" s="87">
        <v>300000.0</v>
      </c>
      <c r="D29" s="87" t="str">
        <f>D27</f>
        <v>Toàn</v>
      </c>
      <c r="E29" s="88"/>
      <c r="F29" s="84" t="b">
        <f t="shared" si="13"/>
        <v>1</v>
      </c>
      <c r="G29" s="33" t="s">
        <v>86</v>
      </c>
      <c r="H29" s="33">
        <f>$C29/8</f>
        <v>37500</v>
      </c>
      <c r="I29" s="33">
        <f>$C29/8*2</f>
        <v>75000</v>
      </c>
      <c r="J29" s="89"/>
      <c r="K29" s="33">
        <f>$C29/8</f>
        <v>37500</v>
      </c>
      <c r="L29" s="89"/>
      <c r="M29" s="33">
        <f t="shared" ref="M29:O29" si="20">$C29/8</f>
        <v>37500</v>
      </c>
      <c r="N29" s="33">
        <f t="shared" si="20"/>
        <v>37500</v>
      </c>
      <c r="O29" s="33">
        <f t="shared" si="20"/>
        <v>37500</v>
      </c>
      <c r="P29" s="89"/>
      <c r="Q29" s="89"/>
      <c r="R29" s="33">
        <f>$C29/8</f>
        <v>37500</v>
      </c>
      <c r="S29" s="42">
        <f>COUNTIF(H29:R29,"&lt;&gt;0")+1</f>
        <v>8</v>
      </c>
      <c r="T29" s="16"/>
    </row>
    <row r="30">
      <c r="A30" s="81"/>
      <c r="B30" s="82"/>
      <c r="C30" s="82"/>
      <c r="D30" s="82"/>
      <c r="E30" s="83"/>
      <c r="F30" s="84"/>
      <c r="G30" s="85" t="s">
        <v>88</v>
      </c>
      <c r="H30" s="32"/>
      <c r="I30" s="32"/>
      <c r="J30" s="32"/>
      <c r="K30" s="32"/>
      <c r="L30" s="32"/>
      <c r="M30" s="32"/>
      <c r="N30" s="32"/>
      <c r="O30" s="32"/>
      <c r="P30" s="86"/>
      <c r="Q30" s="86"/>
      <c r="R30" s="86"/>
      <c r="S30" s="42"/>
      <c r="T30" s="16"/>
    </row>
    <row r="31">
      <c r="A31" s="81"/>
      <c r="B31" s="82"/>
      <c r="C31" s="87">
        <v>14000.0</v>
      </c>
      <c r="D31" s="87" t="str">
        <f>L24</f>
        <v>Kiên</v>
      </c>
      <c r="E31" s="88"/>
      <c r="F31" s="84" t="b">
        <f t="shared" ref="F31:F34" si="21">C31=sum(H31:R31)</f>
        <v>1</v>
      </c>
      <c r="G31" s="33" t="s">
        <v>90</v>
      </c>
      <c r="H31" s="33">
        <f t="shared" ref="H31:H32" si="22">$C31/2</f>
        <v>7000</v>
      </c>
      <c r="I31" s="89"/>
      <c r="J31" s="89"/>
      <c r="K31" s="89"/>
      <c r="L31" s="33">
        <f t="shared" ref="L31:L32" si="23">$C31/2</f>
        <v>7000</v>
      </c>
      <c r="M31" s="89"/>
      <c r="N31" s="89"/>
      <c r="O31" s="89"/>
      <c r="P31" s="89"/>
      <c r="Q31" s="89"/>
      <c r="R31" s="89"/>
      <c r="S31" s="42">
        <f t="shared" ref="S31:S34" si="24">COUNTIF(H31:R31,"&lt;&gt;0")</f>
        <v>2</v>
      </c>
      <c r="T31" s="16"/>
    </row>
    <row r="32">
      <c r="A32" s="81"/>
      <c r="B32" s="82"/>
      <c r="C32" s="87">
        <v>36000.0</v>
      </c>
      <c r="D32" s="87" t="str">
        <f>H24</f>
        <v>Toàn</v>
      </c>
      <c r="E32" s="88"/>
      <c r="F32" s="84" t="b">
        <f t="shared" si="21"/>
        <v>1</v>
      </c>
      <c r="G32" s="33" t="s">
        <v>92</v>
      </c>
      <c r="H32" s="33">
        <f t="shared" si="22"/>
        <v>18000</v>
      </c>
      <c r="I32" s="89"/>
      <c r="J32" s="89"/>
      <c r="K32" s="89"/>
      <c r="L32" s="33">
        <f t="shared" si="23"/>
        <v>18000</v>
      </c>
      <c r="M32" s="89"/>
      <c r="N32" s="89"/>
      <c r="O32" s="89"/>
      <c r="P32" s="89"/>
      <c r="Q32" s="89"/>
      <c r="R32" s="89"/>
      <c r="S32" s="42">
        <f t="shared" si="24"/>
        <v>2</v>
      </c>
      <c r="T32" s="16"/>
    </row>
    <row r="33">
      <c r="A33" s="81"/>
      <c r="B33" s="82"/>
      <c r="C33" s="87">
        <v>50000.0</v>
      </c>
      <c r="D33" s="87" t="str">
        <f>D32</f>
        <v>Toàn</v>
      </c>
      <c r="E33" s="88"/>
      <c r="F33" s="84" t="b">
        <f t="shared" si="21"/>
        <v>1</v>
      </c>
      <c r="G33" s="33" t="s">
        <v>95</v>
      </c>
      <c r="H33" s="33">
        <v>25000.0</v>
      </c>
      <c r="I33" s="89"/>
      <c r="J33" s="89"/>
      <c r="K33" s="89"/>
      <c r="L33" s="33">
        <v>25000.0</v>
      </c>
      <c r="M33" s="89"/>
      <c r="N33" s="89"/>
      <c r="O33" s="89"/>
      <c r="P33" s="89"/>
      <c r="Q33" s="89"/>
      <c r="R33" s="89"/>
      <c r="S33" s="42">
        <f t="shared" si="24"/>
        <v>2</v>
      </c>
      <c r="T33" s="16"/>
    </row>
    <row r="34">
      <c r="A34" s="81"/>
      <c r="B34" s="82"/>
      <c r="C34" s="87">
        <v>7000.0</v>
      </c>
      <c r="D34" s="87" t="str">
        <f>N24</f>
        <v>Thảo</v>
      </c>
      <c r="E34" s="88"/>
      <c r="F34" s="84" t="b">
        <f t="shared" si="21"/>
        <v>1</v>
      </c>
      <c r="G34" s="33" t="s">
        <v>96</v>
      </c>
      <c r="H34" s="33">
        <f>$C34/2</f>
        <v>3500</v>
      </c>
      <c r="I34" s="89"/>
      <c r="J34" s="89"/>
      <c r="K34" s="89"/>
      <c r="L34" s="33">
        <f>$C34/2</f>
        <v>3500</v>
      </c>
      <c r="M34" s="89"/>
      <c r="N34" s="89"/>
      <c r="O34" s="89"/>
      <c r="P34" s="89"/>
      <c r="Q34" s="89"/>
      <c r="R34" s="89"/>
      <c r="S34" s="42">
        <f t="shared" si="24"/>
        <v>2</v>
      </c>
      <c r="T34" s="16"/>
    </row>
    <row r="35">
      <c r="A35" s="81"/>
      <c r="B35" s="82"/>
      <c r="C35" s="82"/>
      <c r="D35" s="82"/>
      <c r="E35" s="83"/>
      <c r="F35" s="84"/>
      <c r="G35" s="85" t="s">
        <v>40</v>
      </c>
      <c r="H35" s="32"/>
      <c r="I35" s="32"/>
      <c r="J35" s="32"/>
      <c r="K35" s="32"/>
      <c r="L35" s="32"/>
      <c r="M35" s="32"/>
      <c r="N35" s="32"/>
      <c r="O35" s="32"/>
      <c r="P35" s="86"/>
      <c r="Q35" s="86"/>
      <c r="R35" s="86"/>
      <c r="S35" s="42"/>
      <c r="T35" s="16"/>
    </row>
    <row r="36">
      <c r="A36" s="81"/>
      <c r="B36" s="82"/>
      <c r="C36" s="87">
        <v>200000.0</v>
      </c>
      <c r="D36" s="87" t="str">
        <f>H24</f>
        <v>Toàn</v>
      </c>
      <c r="E36" s="88"/>
      <c r="F36" s="84" t="b">
        <f t="shared" ref="F36:F38" si="28">C36=sum(H36:R36)</f>
        <v>1</v>
      </c>
      <c r="G36" s="33" t="s">
        <v>99</v>
      </c>
      <c r="H36" s="33">
        <f t="shared" ref="H36:I36" si="25">$C36/$C$10</f>
        <v>33333.33333</v>
      </c>
      <c r="I36" s="33">
        <f t="shared" si="25"/>
        <v>33333.33333</v>
      </c>
      <c r="J36" s="89"/>
      <c r="K36" s="33">
        <f t="shared" ref="K36:L36" si="26">$C36/$C$10</f>
        <v>33333.33333</v>
      </c>
      <c r="L36" s="33">
        <f t="shared" si="26"/>
        <v>33333.33333</v>
      </c>
      <c r="M36" s="89"/>
      <c r="N36" s="89"/>
      <c r="O36" s="89"/>
      <c r="P36" s="89"/>
      <c r="Q36" s="33">
        <f t="shared" ref="Q36:R36" si="27">$C36/$C$10</f>
        <v>33333.33333</v>
      </c>
      <c r="R36" s="33">
        <f t="shared" si="27"/>
        <v>33333.33333</v>
      </c>
      <c r="S36" s="42">
        <f t="shared" ref="S36:S38" si="29">COUNTIF(H36:R36,"&lt;&gt;0")</f>
        <v>6</v>
      </c>
      <c r="T36" s="16"/>
    </row>
    <row r="37">
      <c r="A37" s="81"/>
      <c r="B37" s="82"/>
      <c r="C37" s="87">
        <f>sum(H37:R37)</f>
        <v>172000</v>
      </c>
      <c r="D37" s="87" t="str">
        <f>H24</f>
        <v>Toàn</v>
      </c>
      <c r="E37" s="88"/>
      <c r="F37" s="84" t="b">
        <f t="shared" si="28"/>
        <v>1</v>
      </c>
      <c r="G37" s="33" t="s">
        <v>100</v>
      </c>
      <c r="H37" s="33">
        <v>43000.0</v>
      </c>
      <c r="I37" s="33">
        <v>43000.0</v>
      </c>
      <c r="J37" s="89"/>
      <c r="K37" s="33">
        <v>43000.0</v>
      </c>
      <c r="L37" s="89"/>
      <c r="M37" s="89"/>
      <c r="N37" s="89"/>
      <c r="O37" s="89"/>
      <c r="P37" s="89"/>
      <c r="Q37" s="89"/>
      <c r="R37" s="33">
        <v>43000.0</v>
      </c>
      <c r="S37" s="42">
        <f t="shared" si="29"/>
        <v>4</v>
      </c>
      <c r="T37" s="16"/>
    </row>
    <row r="38">
      <c r="A38" s="81"/>
      <c r="B38" s="82"/>
      <c r="C38" s="87">
        <v>100000.0</v>
      </c>
      <c r="D38" s="87" t="str">
        <f>H24</f>
        <v>Toàn</v>
      </c>
      <c r="E38" s="88"/>
      <c r="F38" s="84" t="b">
        <f t="shared" si="28"/>
        <v>1</v>
      </c>
      <c r="G38" s="33" t="s">
        <v>101</v>
      </c>
      <c r="H38" s="33">
        <f>$C38/3</f>
        <v>33333.33333</v>
      </c>
      <c r="I38" s="89"/>
      <c r="J38" s="89"/>
      <c r="K38" s="89"/>
      <c r="L38" s="33">
        <f>$C38/3</f>
        <v>33333.33333</v>
      </c>
      <c r="M38" s="89"/>
      <c r="N38" s="89"/>
      <c r="O38" s="89"/>
      <c r="P38" s="89"/>
      <c r="Q38" s="33">
        <f>$C38/3</f>
        <v>33333.33333</v>
      </c>
      <c r="R38" s="89"/>
      <c r="S38" s="42">
        <f t="shared" si="29"/>
        <v>3</v>
      </c>
      <c r="T38" s="16"/>
    </row>
    <row r="39">
      <c r="A39" s="81"/>
      <c r="B39" s="82"/>
      <c r="C39" s="82"/>
      <c r="D39" s="82"/>
      <c r="E39" s="83"/>
      <c r="F39" s="84"/>
      <c r="G39" s="85" t="s">
        <v>102</v>
      </c>
      <c r="H39" s="32"/>
      <c r="I39" s="32"/>
      <c r="J39" s="32"/>
      <c r="K39" s="32"/>
      <c r="L39" s="32"/>
      <c r="M39" s="32"/>
      <c r="N39" s="32"/>
      <c r="O39" s="32"/>
      <c r="P39" s="86"/>
      <c r="Q39" s="86"/>
      <c r="R39" s="86"/>
      <c r="S39" s="42"/>
      <c r="T39" s="16"/>
    </row>
    <row r="40">
      <c r="A40" s="81"/>
      <c r="B40" s="82"/>
      <c r="C40" s="87">
        <v>80000.0</v>
      </c>
      <c r="D40" s="87" t="str">
        <f>H24</f>
        <v>Toàn</v>
      </c>
      <c r="E40" s="88"/>
      <c r="F40" s="84" t="b">
        <f t="shared" ref="F40:F41" si="31">C40=sum(H40:R40)</f>
        <v>1</v>
      </c>
      <c r="G40" s="33" t="s">
        <v>104</v>
      </c>
      <c r="H40" s="33">
        <f t="shared" ref="H40:H41" si="32">$C40/3</f>
        <v>26666.66667</v>
      </c>
      <c r="I40" s="89"/>
      <c r="J40" s="89"/>
      <c r="K40" s="33">
        <f t="shared" ref="K40:L40" si="30">$C40/3</f>
        <v>26666.66667</v>
      </c>
      <c r="L40" s="33">
        <f t="shared" si="30"/>
        <v>26666.66667</v>
      </c>
      <c r="M40" s="89"/>
      <c r="N40" s="89"/>
      <c r="O40" s="89"/>
      <c r="P40" s="89"/>
      <c r="Q40" s="89"/>
      <c r="R40" s="89"/>
      <c r="S40" s="42">
        <f t="shared" ref="S40:S41" si="34">COUNTIF(H40:R40,"&lt;&gt;0")</f>
        <v>3</v>
      </c>
      <c r="T40" s="16"/>
    </row>
    <row r="41">
      <c r="A41" s="81"/>
      <c r="B41" s="82"/>
      <c r="C41" s="87">
        <f>340000/12</f>
        <v>28333.33333</v>
      </c>
      <c r="D41" s="87" t="str">
        <f>D40</f>
        <v>Toàn</v>
      </c>
      <c r="E41" s="88"/>
      <c r="F41" s="84" t="b">
        <f t="shared" si="31"/>
        <v>1</v>
      </c>
      <c r="G41" s="33" t="s">
        <v>105</v>
      </c>
      <c r="H41" s="33">
        <f t="shared" si="32"/>
        <v>9444.444444</v>
      </c>
      <c r="I41" s="89"/>
      <c r="J41" s="89"/>
      <c r="K41" s="33">
        <f t="shared" ref="K41:L41" si="33">$C41/3</f>
        <v>9444.444444</v>
      </c>
      <c r="L41" s="33">
        <f t="shared" si="33"/>
        <v>9444.444444</v>
      </c>
      <c r="M41" s="89"/>
      <c r="N41" s="89"/>
      <c r="O41" s="89"/>
      <c r="P41" s="89"/>
      <c r="Q41" s="89"/>
      <c r="R41" s="89"/>
      <c r="S41" s="42">
        <f t="shared" si="34"/>
        <v>3</v>
      </c>
      <c r="T41" s="16"/>
    </row>
    <row r="42" ht="6.0" customHeight="1">
      <c r="A42" s="81"/>
      <c r="B42" s="82"/>
      <c r="C42" s="82"/>
      <c r="D42" s="82"/>
      <c r="E42" s="83"/>
      <c r="F42" s="84"/>
      <c r="G42" s="32"/>
      <c r="H42" s="19"/>
      <c r="I42" s="19"/>
      <c r="J42" s="19"/>
      <c r="K42" s="32"/>
      <c r="L42" s="32"/>
      <c r="M42" s="32"/>
      <c r="N42" s="32"/>
      <c r="O42" s="32"/>
      <c r="P42" s="32"/>
      <c r="Q42" s="32"/>
      <c r="R42" s="32"/>
      <c r="S42" s="19"/>
      <c r="T42" s="16"/>
    </row>
    <row r="43" ht="18.0" customHeight="1">
      <c r="A43" s="81"/>
      <c r="B43" s="82"/>
      <c r="C43" s="82"/>
      <c r="D43" s="82"/>
      <c r="E43" s="83"/>
      <c r="F43" s="84"/>
      <c r="G43" s="73" t="s">
        <v>68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5"/>
      <c r="S43" s="19"/>
      <c r="T43" s="16"/>
    </row>
    <row r="44" ht="3.75" customHeight="1">
      <c r="A44" s="81"/>
      <c r="B44" s="82"/>
      <c r="C44" s="82"/>
      <c r="D44" s="82"/>
      <c r="E44" s="83"/>
      <c r="F44" s="84"/>
      <c r="G44" s="32"/>
      <c r="H44" s="19"/>
      <c r="I44" s="19"/>
      <c r="J44" s="19"/>
      <c r="K44" s="32"/>
      <c r="L44" s="32"/>
      <c r="M44" s="32"/>
      <c r="N44" s="32"/>
      <c r="O44" s="32"/>
      <c r="P44" s="32"/>
      <c r="Q44" s="32"/>
      <c r="R44" s="32"/>
      <c r="S44" s="19"/>
      <c r="T44" s="16"/>
    </row>
    <row r="45">
      <c r="A45" s="81"/>
      <c r="B45" s="82"/>
      <c r="C45" s="82"/>
      <c r="D45" s="82"/>
      <c r="E45" s="83"/>
      <c r="F45" s="84" t="b">
        <f t="shared" ref="F45:F48" si="35">If(C45 - round(sum(H45:R45),0) &lt; 5000, True, False)</f>
        <v>1</v>
      </c>
      <c r="G45" s="33" t="s">
        <v>109</v>
      </c>
      <c r="H45" s="33">
        <f t="array" ref="H45">-_xlfn.XLOOKUP(H$24,'0108'!$8:$8,'0108'!$18:$18)</f>
        <v>-281374.6667</v>
      </c>
      <c r="I45" s="33">
        <f t="array" ref="I45">-_xlfn.XLOOKUP(I$24,'0108'!$8:$8,'0108'!$18:$18)</f>
        <v>-20147.66667</v>
      </c>
      <c r="J45" s="33">
        <f t="array" ref="J45">-_xlfn.XLOOKUP(J$24,'0108'!$8:$8,'0108'!$18:$18)</f>
        <v>-25000</v>
      </c>
      <c r="K45" s="89"/>
      <c r="L45" s="33">
        <f t="array" ref="L45">-_xlfn.XLOOKUP(L$24,'0108'!$8:$8,'0108'!$18:$18)</f>
        <v>387724.3333</v>
      </c>
      <c r="M45" s="89"/>
      <c r="N45" s="89"/>
      <c r="O45" s="89"/>
      <c r="P45" s="89"/>
      <c r="Q45" s="89"/>
      <c r="R45" s="33">
        <f t="array" ref="R45">-_xlfn.XLOOKUP(R$24,'0108'!$8:$8,'0108'!$18:$18)</f>
        <v>-60000</v>
      </c>
      <c r="S45" s="42">
        <f t="shared" ref="S45:S48" si="36">COUNTIF(H45:R45,"&lt;&gt;0")</f>
        <v>5</v>
      </c>
      <c r="T45" s="16"/>
    </row>
    <row r="46" ht="15.0" customHeight="1">
      <c r="A46" s="2"/>
      <c r="B46" s="8"/>
      <c r="C46" s="90"/>
      <c r="D46" s="8"/>
      <c r="E46" s="91"/>
      <c r="F46" s="84" t="b">
        <f t="shared" si="35"/>
        <v>1</v>
      </c>
      <c r="G46" s="33" t="s">
        <v>111</v>
      </c>
      <c r="H46" s="33">
        <v>40000.0</v>
      </c>
      <c r="I46" s="89"/>
      <c r="J46" s="89"/>
      <c r="K46" s="89"/>
      <c r="L46" s="89"/>
      <c r="M46" s="89"/>
      <c r="N46" s="89"/>
      <c r="O46" s="89"/>
      <c r="P46" s="89"/>
      <c r="Q46" s="33">
        <v>-40000.0</v>
      </c>
      <c r="R46" s="89"/>
      <c r="S46" s="42">
        <f t="shared" si="36"/>
        <v>2</v>
      </c>
      <c r="T46" s="2"/>
    </row>
    <row r="47" ht="15.0" customHeight="1">
      <c r="A47" s="2"/>
      <c r="B47" s="8"/>
      <c r="C47" s="90"/>
      <c r="D47" s="8"/>
      <c r="E47" s="91"/>
      <c r="F47" s="84" t="b">
        <f t="shared" si="35"/>
        <v>1</v>
      </c>
      <c r="G47" s="33" t="s">
        <v>112</v>
      </c>
      <c r="H47" s="33">
        <f>400000/3*2</f>
        <v>266666.6667</v>
      </c>
      <c r="I47" s="33">
        <f t="shared" ref="I47:I48" si="37">-H47</f>
        <v>-266666.6667</v>
      </c>
      <c r="J47" s="89"/>
      <c r="K47" s="89"/>
      <c r="L47" s="89"/>
      <c r="M47" s="89"/>
      <c r="N47" s="89"/>
      <c r="O47" s="89"/>
      <c r="P47" s="89"/>
      <c r="Q47" s="89"/>
      <c r="R47" s="89"/>
      <c r="S47" s="42">
        <f t="shared" si="36"/>
        <v>2</v>
      </c>
      <c r="T47" s="2"/>
    </row>
    <row r="48" ht="15.0" customHeight="1">
      <c r="A48" s="2"/>
      <c r="B48" s="8"/>
      <c r="C48" s="90"/>
      <c r="D48" s="8"/>
      <c r="E48" s="91"/>
      <c r="F48" s="84" t="b">
        <f t="shared" si="35"/>
        <v>1</v>
      </c>
      <c r="G48" s="33" t="s">
        <v>113</v>
      </c>
      <c r="H48" s="33">
        <v>-190000.0</v>
      </c>
      <c r="I48" s="33">
        <f t="shared" si="37"/>
        <v>190000</v>
      </c>
      <c r="J48" s="89"/>
      <c r="K48" s="89"/>
      <c r="L48" s="89"/>
      <c r="M48" s="89"/>
      <c r="N48" s="89"/>
      <c r="O48" s="89"/>
      <c r="P48" s="89"/>
      <c r="Q48" s="89"/>
      <c r="R48" s="89"/>
      <c r="S48" s="42">
        <f t="shared" si="36"/>
        <v>2</v>
      </c>
      <c r="T48" s="2"/>
    </row>
    <row r="49" ht="15.0" customHeight="1">
      <c r="A49" s="2"/>
      <c r="B49" s="8"/>
      <c r="C49" s="90"/>
      <c r="D49" s="8"/>
      <c r="E49" s="91"/>
      <c r="F49" s="92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2"/>
    </row>
    <row r="50" ht="15.0" customHeight="1">
      <c r="A50" s="2"/>
      <c r="B50" s="8"/>
      <c r="C50" s="93" t="s">
        <v>81</v>
      </c>
      <c r="D50" s="8"/>
      <c r="E50" s="91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2"/>
    </row>
    <row r="51" ht="12.75" customHeight="1">
      <c r="A51" s="16"/>
      <c r="B51" s="19"/>
      <c r="C51" s="94"/>
      <c r="D51" s="95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105"/>
      <c r="S51" s="19"/>
      <c r="T51" s="16"/>
    </row>
    <row r="52" ht="12.75" customHeight="1">
      <c r="A52" s="16"/>
      <c r="B52" s="19"/>
      <c r="C52" s="94"/>
      <c r="D52" s="98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106"/>
      <c r="S52" s="19"/>
      <c r="T52" s="16"/>
    </row>
    <row r="53" ht="12.75" customHeight="1">
      <c r="A53" s="16"/>
      <c r="B53" s="19"/>
      <c r="C53" s="101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7"/>
      <c r="S53" s="19"/>
      <c r="T53" s="16"/>
    </row>
    <row r="54" ht="19.5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</sheetData>
  <mergeCells count="11">
    <mergeCell ref="D13:E13"/>
    <mergeCell ref="C22:E22"/>
    <mergeCell ref="G22:R22"/>
    <mergeCell ref="G43:R43"/>
    <mergeCell ref="C3:D3"/>
    <mergeCell ref="G5:R5"/>
    <mergeCell ref="C7:E7"/>
    <mergeCell ref="D8:E8"/>
    <mergeCell ref="D9:E9"/>
    <mergeCell ref="D10:E10"/>
    <mergeCell ref="D11:E11"/>
  </mergeCells>
  <conditionalFormatting sqref="A13:B14 F13:T14">
    <cfRule type="containsText" dxfId="0" priority="1" operator="containsText" text="Chuyển tiền">
      <formula>NOT(ISERROR(SEARCH(("Chuyển tiền"),(A13))))</formula>
    </cfRule>
  </conditionalFormatting>
  <conditionalFormatting sqref="A13:B14 F13:T14">
    <cfRule type="containsText" dxfId="1" priority="2" operator="containsText" text="Nhận tiền">
      <formula>NOT(ISERROR(SEARCH(("Nhận tiền"),(A13))))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2" max="16" width="11.75"/>
    <col customWidth="1" min="17" max="17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  <c r="Q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5"/>
      <c r="Q2" s="2"/>
    </row>
    <row r="3" ht="16.5" customHeight="1">
      <c r="A3" s="2"/>
      <c r="B3" s="4"/>
      <c r="C3" s="6" t="s">
        <v>91</v>
      </c>
      <c r="D3" s="7"/>
      <c r="E3" s="8"/>
      <c r="F3" s="8"/>
      <c r="G3" s="9" t="s">
        <v>3</v>
      </c>
      <c r="H3" s="10">
        <f t="shared" ref="H3:O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5"/>
      <c r="Q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8"/>
      <c r="Q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5"/>
      <c r="P5" s="8"/>
      <c r="Q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19"/>
      <c r="Q6" s="16"/>
    </row>
    <row r="7" ht="15.75" customHeight="1">
      <c r="A7" s="16"/>
      <c r="B7" s="17"/>
      <c r="C7" s="22" t="s">
        <v>6</v>
      </c>
      <c r="D7" s="14"/>
      <c r="E7" s="15"/>
      <c r="F7" s="19"/>
      <c r="G7" s="23"/>
      <c r="H7" s="24"/>
      <c r="I7" s="24"/>
      <c r="J7" s="24"/>
      <c r="K7" s="24"/>
      <c r="L7" s="25" t="s">
        <v>7</v>
      </c>
      <c r="M7" s="25" t="s">
        <v>7</v>
      </c>
      <c r="N7" s="25" t="s">
        <v>7</v>
      </c>
      <c r="O7" s="24"/>
      <c r="P7" s="19"/>
      <c r="Q7" s="16"/>
    </row>
    <row r="8" ht="18.0" customHeight="1">
      <c r="A8" s="16"/>
      <c r="B8" s="17"/>
      <c r="C8" s="26" t="s">
        <v>8</v>
      </c>
      <c r="D8" s="27" t="s">
        <v>9</v>
      </c>
      <c r="E8" s="15"/>
      <c r="F8" s="19"/>
      <c r="G8" s="28" t="s">
        <v>10</v>
      </c>
      <c r="H8" s="29" t="s">
        <v>11</v>
      </c>
      <c r="I8" s="29" t="s">
        <v>12</v>
      </c>
      <c r="J8" s="29" t="s">
        <v>13</v>
      </c>
      <c r="K8" s="29" t="s">
        <v>15</v>
      </c>
      <c r="L8" s="29" t="s">
        <v>16</v>
      </c>
      <c r="M8" s="29" t="s">
        <v>17</v>
      </c>
      <c r="N8" s="29" t="s">
        <v>20</v>
      </c>
      <c r="O8" s="29" t="s">
        <v>21</v>
      </c>
      <c r="P8" s="19"/>
      <c r="Q8" s="16"/>
    </row>
    <row r="9">
      <c r="A9" s="16"/>
      <c r="B9" s="19"/>
      <c r="C9" s="30">
        <v>9.0</v>
      </c>
      <c r="D9" s="31" t="s">
        <v>98</v>
      </c>
      <c r="E9" s="15"/>
      <c r="F9" s="32"/>
      <c r="G9" s="33" t="str">
        <f>C22</f>
        <v>Tổng ứng trước</v>
      </c>
      <c r="H9" s="34">
        <f t="shared" ref="H9:O9" si="2">round(sumif($D:$D,H8,$C:$C),0)</f>
        <v>380000</v>
      </c>
      <c r="I9" s="34">
        <f t="shared" si="2"/>
        <v>0</v>
      </c>
      <c r="J9" s="34">
        <f t="shared" si="2"/>
        <v>0</v>
      </c>
      <c r="K9" s="34">
        <f t="shared" si="2"/>
        <v>0</v>
      </c>
      <c r="L9" s="34">
        <f t="shared" si="2"/>
        <v>0</v>
      </c>
      <c r="M9" s="34">
        <f t="shared" si="2"/>
        <v>0</v>
      </c>
      <c r="N9" s="34">
        <f t="shared" si="2"/>
        <v>25000</v>
      </c>
      <c r="O9" s="34">
        <f t="shared" si="2"/>
        <v>0</v>
      </c>
      <c r="P9" s="19"/>
      <c r="Q9" s="16"/>
    </row>
    <row r="10">
      <c r="A10" s="16"/>
      <c r="B10" s="19"/>
      <c r="C10" s="35"/>
      <c r="D10" s="35"/>
      <c r="F10" s="32"/>
      <c r="G10" s="33" t="str">
        <f>"[-] "&amp;G22</f>
        <v>[-] Tổng chi phí</v>
      </c>
      <c r="H10" s="34">
        <f t="shared" ref="H10:O10" si="3">round(sum(H25:H28),0)</f>
        <v>45000</v>
      </c>
      <c r="I10" s="34">
        <f t="shared" si="3"/>
        <v>90000</v>
      </c>
      <c r="J10" s="34">
        <f t="shared" si="3"/>
        <v>90000</v>
      </c>
      <c r="K10" s="34">
        <f t="shared" si="3"/>
        <v>45000</v>
      </c>
      <c r="L10" s="34">
        <f t="shared" si="3"/>
        <v>45000</v>
      </c>
      <c r="M10" s="34">
        <f t="shared" si="3"/>
        <v>45000</v>
      </c>
      <c r="N10" s="34">
        <f t="shared" si="3"/>
        <v>45000</v>
      </c>
      <c r="O10" s="34">
        <f t="shared" si="3"/>
        <v>0</v>
      </c>
      <c r="P10" s="19"/>
      <c r="Q10" s="16"/>
    </row>
    <row r="11">
      <c r="A11" s="16"/>
      <c r="B11" s="19"/>
      <c r="C11" s="35"/>
      <c r="D11" s="35"/>
      <c r="F11" s="36"/>
      <c r="G11" s="37" t="str">
        <f>"[-] "&amp;G30</f>
        <v>[-] Bù trừ nợ đợt trước</v>
      </c>
      <c r="H11" s="38">
        <f t="shared" ref="H11:O11" si="4">Sum(H32:H41)</f>
        <v>-171374.6667</v>
      </c>
      <c r="I11" s="38">
        <f t="shared" si="4"/>
        <v>-110147.6667</v>
      </c>
      <c r="J11" s="38">
        <f t="shared" si="4"/>
        <v>0</v>
      </c>
      <c r="K11" s="38">
        <f t="shared" si="4"/>
        <v>342724.3333</v>
      </c>
      <c r="L11" s="38">
        <f t="shared" si="4"/>
        <v>0</v>
      </c>
      <c r="M11" s="38">
        <f t="shared" si="4"/>
        <v>0</v>
      </c>
      <c r="N11" s="38">
        <f t="shared" si="4"/>
        <v>0</v>
      </c>
      <c r="O11" s="38">
        <f t="shared" si="4"/>
        <v>-60000</v>
      </c>
      <c r="P11" s="19"/>
      <c r="Q11" s="16"/>
    </row>
    <row r="12">
      <c r="A12" s="16"/>
      <c r="B12" s="19"/>
      <c r="F12" s="36"/>
      <c r="G12" s="39" t="s">
        <v>36</v>
      </c>
      <c r="H12" s="40">
        <f t="shared" ref="H12:O12" si="5">H9-H10-H11</f>
        <v>506374.6667</v>
      </c>
      <c r="I12" s="40">
        <f t="shared" si="5"/>
        <v>20147.66667</v>
      </c>
      <c r="J12" s="40">
        <f t="shared" si="5"/>
        <v>-90000</v>
      </c>
      <c r="K12" s="40">
        <f t="shared" si="5"/>
        <v>-387724.3333</v>
      </c>
      <c r="L12" s="40">
        <f t="shared" si="5"/>
        <v>-45000</v>
      </c>
      <c r="M12" s="40">
        <f t="shared" si="5"/>
        <v>-45000</v>
      </c>
      <c r="N12" s="40">
        <f t="shared" si="5"/>
        <v>-20000</v>
      </c>
      <c r="O12" s="40">
        <f t="shared" si="5"/>
        <v>60000</v>
      </c>
      <c r="P12" s="19"/>
      <c r="Q12" s="16"/>
    </row>
    <row r="13" ht="6.0" customHeight="1">
      <c r="A13" s="41"/>
      <c r="B13" s="42"/>
      <c r="C13" s="43"/>
      <c r="D13" s="43"/>
      <c r="F13" s="42"/>
      <c r="G13" s="44"/>
      <c r="H13" s="45"/>
      <c r="I13" s="45"/>
      <c r="J13" s="45"/>
      <c r="K13" s="45"/>
      <c r="L13" s="45"/>
      <c r="M13" s="45"/>
      <c r="N13" s="45"/>
      <c r="O13" s="45"/>
      <c r="P13" s="42"/>
      <c r="Q13" s="41"/>
    </row>
    <row r="14">
      <c r="A14" s="41"/>
      <c r="B14" s="42"/>
      <c r="F14" s="42"/>
      <c r="G14" s="46" t="s">
        <v>38</v>
      </c>
      <c r="H14" s="47" t="str">
        <f t="shared" ref="H14:O14" si="6">if(H12&lt;0,"Chuyển tiền","Nhận tiền")</f>
        <v>Nhận tiền</v>
      </c>
      <c r="I14" s="47" t="str">
        <f t="shared" si="6"/>
        <v>Nhận tiền</v>
      </c>
      <c r="J14" s="47" t="str">
        <f t="shared" si="6"/>
        <v>Chuyển tiền</v>
      </c>
      <c r="K14" s="47" t="str">
        <f t="shared" si="6"/>
        <v>Chuyển tiền</v>
      </c>
      <c r="L14" s="47" t="str">
        <f t="shared" si="6"/>
        <v>Chuyển tiền</v>
      </c>
      <c r="M14" s="47" t="str">
        <f t="shared" si="6"/>
        <v>Chuyển tiền</v>
      </c>
      <c r="N14" s="47" t="str">
        <f t="shared" si="6"/>
        <v>Chuyển tiền</v>
      </c>
      <c r="O14" s="47" t="str">
        <f t="shared" si="6"/>
        <v>Nhận tiền</v>
      </c>
      <c r="P14" s="42"/>
      <c r="Q14" s="41"/>
    </row>
    <row r="15" ht="6.75" customHeight="1">
      <c r="A15" s="48"/>
      <c r="B15" s="49"/>
      <c r="C15" s="50"/>
      <c r="D15" s="50"/>
      <c r="E15" s="49"/>
      <c r="F15" s="49"/>
      <c r="G15" s="51"/>
      <c r="H15" s="52"/>
      <c r="I15" s="52"/>
      <c r="J15" s="52"/>
      <c r="K15" s="52"/>
      <c r="L15" s="52"/>
      <c r="M15" s="52"/>
      <c r="N15" s="52"/>
      <c r="O15" s="52"/>
      <c r="P15" s="49"/>
      <c r="Q15" s="48"/>
    </row>
    <row r="16">
      <c r="A16" s="48"/>
      <c r="B16" s="49"/>
      <c r="C16" s="50"/>
      <c r="D16" s="50"/>
      <c r="E16" s="49"/>
      <c r="F16" s="49"/>
      <c r="G16" s="53" t="s">
        <v>39</v>
      </c>
      <c r="H16" s="54">
        <f>-sum(I16:O16)</f>
        <v>-225000</v>
      </c>
      <c r="I16" s="55"/>
      <c r="J16" s="55">
        <f>-J12+25000</f>
        <v>115000</v>
      </c>
      <c r="K16" s="55"/>
      <c r="L16" s="55">
        <f t="shared" ref="L16:N16" si="7">-L12</f>
        <v>45000</v>
      </c>
      <c r="M16" s="55">
        <f t="shared" si="7"/>
        <v>45000</v>
      </c>
      <c r="N16" s="55">
        <f t="shared" si="7"/>
        <v>20000</v>
      </c>
      <c r="O16" s="55"/>
      <c r="P16" s="49"/>
      <c r="Q16" s="48"/>
    </row>
    <row r="17" ht="6.0" customHeight="1">
      <c r="A17" s="16"/>
      <c r="B17" s="19"/>
      <c r="C17" s="50"/>
      <c r="D17" s="5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6"/>
    </row>
    <row r="18">
      <c r="A18" s="16"/>
      <c r="B18" s="19"/>
      <c r="C18" s="50"/>
      <c r="D18" s="50"/>
      <c r="E18" s="19"/>
      <c r="F18" s="19"/>
      <c r="G18" s="51" t="s">
        <v>41</v>
      </c>
      <c r="H18" s="56">
        <f t="shared" ref="H18:O18" si="8">H12+H16</f>
        <v>281374.6667</v>
      </c>
      <c r="I18" s="56">
        <f t="shared" si="8"/>
        <v>20147.66667</v>
      </c>
      <c r="J18" s="56">
        <f t="shared" si="8"/>
        <v>25000</v>
      </c>
      <c r="K18" s="56">
        <f t="shared" si="8"/>
        <v>-387724.3333</v>
      </c>
      <c r="L18" s="56">
        <f t="shared" si="8"/>
        <v>0</v>
      </c>
      <c r="M18" s="56">
        <f t="shared" si="8"/>
        <v>0</v>
      </c>
      <c r="N18" s="56">
        <f t="shared" si="8"/>
        <v>0</v>
      </c>
      <c r="O18" s="56">
        <f t="shared" si="8"/>
        <v>60000</v>
      </c>
      <c r="P18" s="19"/>
      <c r="Q18" s="16"/>
    </row>
    <row r="19" ht="24.75" customHeight="1">
      <c r="A19" s="57"/>
      <c r="B19" s="58"/>
      <c r="C19" s="59"/>
      <c r="D19" s="59"/>
      <c r="E19" s="59"/>
      <c r="F19" s="60"/>
      <c r="G19" s="61" t="s">
        <v>42</v>
      </c>
      <c r="H19" s="62" t="str">
        <f t="shared" ref="H19:K19" si="9">IF(AND(H18&gt;=-3000,H18&lt;=1000), "Done", "")</f>
        <v/>
      </c>
      <c r="I19" s="62" t="str">
        <f t="shared" si="9"/>
        <v/>
      </c>
      <c r="J19" s="62" t="str">
        <f t="shared" si="9"/>
        <v/>
      </c>
      <c r="K19" s="62" t="str">
        <f t="shared" si="9"/>
        <v/>
      </c>
      <c r="L19" s="62" t="str">
        <f t="shared" ref="L19:O19" si="10">IF(AND(L18&gt;=-3000,L18&lt;=2000), "Done", "")</f>
        <v>Done</v>
      </c>
      <c r="M19" s="62" t="str">
        <f t="shared" si="10"/>
        <v>Done</v>
      </c>
      <c r="N19" s="62" t="str">
        <f t="shared" si="10"/>
        <v>Done</v>
      </c>
      <c r="O19" s="62" t="str">
        <f t="shared" si="10"/>
        <v/>
      </c>
      <c r="P19" s="19"/>
      <c r="Q19" s="16"/>
    </row>
    <row r="20" ht="6.0" customHeight="1">
      <c r="A20" s="63"/>
      <c r="B20" s="64"/>
      <c r="C20" s="65"/>
      <c r="D20" s="65"/>
      <c r="E20" s="65"/>
      <c r="F20" s="65"/>
      <c r="G20" s="66"/>
      <c r="H20" s="66"/>
      <c r="I20" s="66"/>
      <c r="J20" s="67"/>
      <c r="K20" s="66"/>
      <c r="L20" s="66"/>
      <c r="M20" s="66"/>
      <c r="N20" s="66"/>
      <c r="O20" s="66"/>
      <c r="P20" s="8"/>
      <c r="Q20" s="2"/>
    </row>
    <row r="21" ht="32.25" customHeight="1">
      <c r="A21" s="63"/>
      <c r="B21" s="64"/>
      <c r="C21" s="68" t="s">
        <v>43</v>
      </c>
      <c r="D21" s="59"/>
      <c r="E21" s="59"/>
      <c r="F21" s="69"/>
      <c r="G21" s="70"/>
      <c r="H21" s="70"/>
      <c r="I21" s="70"/>
      <c r="J21" s="71"/>
      <c r="K21" s="70"/>
      <c r="L21" s="70"/>
      <c r="M21" s="70"/>
      <c r="N21" s="70"/>
      <c r="O21" s="70"/>
      <c r="P21" s="8"/>
      <c r="Q21" s="2"/>
    </row>
    <row r="22" ht="21.75" customHeight="1">
      <c r="A22" s="57"/>
      <c r="B22" s="58"/>
      <c r="C22" s="72" t="s">
        <v>44</v>
      </c>
      <c r="F22" s="60"/>
      <c r="G22" s="73" t="s">
        <v>45</v>
      </c>
      <c r="H22" s="14"/>
      <c r="I22" s="14"/>
      <c r="J22" s="14"/>
      <c r="K22" s="14"/>
      <c r="L22" s="14"/>
      <c r="M22" s="14"/>
      <c r="N22" s="14"/>
      <c r="O22" s="15"/>
      <c r="P22" s="19"/>
      <c r="Q22" s="16"/>
    </row>
    <row r="23" ht="5.25" customHeight="1">
      <c r="A23" s="57"/>
      <c r="B23" s="74"/>
      <c r="C23" s="74"/>
      <c r="D23" s="74"/>
      <c r="E23" s="75"/>
      <c r="F23" s="76"/>
      <c r="G23" s="23"/>
      <c r="H23" s="21"/>
      <c r="I23" s="21"/>
      <c r="J23" s="21"/>
      <c r="K23" s="21"/>
      <c r="L23" s="21"/>
      <c r="M23" s="21"/>
      <c r="N23" s="21"/>
      <c r="O23" s="21"/>
      <c r="P23" s="17"/>
      <c r="Q23" s="16"/>
    </row>
    <row r="24">
      <c r="A24" s="57"/>
      <c r="B24" s="58"/>
      <c r="C24" s="77" t="s">
        <v>46</v>
      </c>
      <c r="D24" s="77" t="s">
        <v>47</v>
      </c>
      <c r="E24" s="78" t="s">
        <v>48</v>
      </c>
      <c r="F24" s="79" t="s">
        <v>49</v>
      </c>
      <c r="G24" s="28" t="s">
        <v>50</v>
      </c>
      <c r="H24" s="29" t="str">
        <f t="shared" ref="H24:O24" si="11">H8</f>
        <v>Toàn</v>
      </c>
      <c r="I24" s="29" t="str">
        <f t="shared" si="11"/>
        <v>Trường + Thủy</v>
      </c>
      <c r="J24" s="29" t="str">
        <f t="shared" si="11"/>
        <v>Băng + Tâm</v>
      </c>
      <c r="K24" s="29" t="str">
        <f t="shared" si="11"/>
        <v>Kiên</v>
      </c>
      <c r="L24" s="29" t="str">
        <f t="shared" si="11"/>
        <v>Thái</v>
      </c>
      <c r="M24" s="29" t="str">
        <f t="shared" si="11"/>
        <v>Thảo</v>
      </c>
      <c r="N24" s="29" t="str">
        <f t="shared" si="11"/>
        <v>Phan</v>
      </c>
      <c r="O24" s="29" t="str">
        <f t="shared" si="11"/>
        <v>Quân</v>
      </c>
      <c r="P24" s="80" t="s">
        <v>8</v>
      </c>
      <c r="Q24" s="16"/>
    </row>
    <row r="25">
      <c r="A25" s="57"/>
      <c r="B25" s="82"/>
      <c r="C25" s="87">
        <v>270000.0</v>
      </c>
      <c r="D25" s="87" t="str">
        <f>H24</f>
        <v>Toàn</v>
      </c>
      <c r="E25" s="88"/>
      <c r="F25" s="84" t="b">
        <f t="shared" ref="F25:F28" si="14">C25=sum(H25:O25)</f>
        <v>1</v>
      </c>
      <c r="G25" s="33" t="s">
        <v>114</v>
      </c>
      <c r="H25" s="33">
        <f t="shared" ref="H25:H28" si="15">$C25/$C$9</f>
        <v>30000</v>
      </c>
      <c r="I25" s="33">
        <f t="shared" ref="I25:J25" si="12">$C25/$C$9*2</f>
        <v>60000</v>
      </c>
      <c r="J25" s="33">
        <f t="shared" si="12"/>
        <v>60000</v>
      </c>
      <c r="K25" s="33">
        <f t="shared" ref="K25:N25" si="13">$C25/$C$9</f>
        <v>30000</v>
      </c>
      <c r="L25" s="33">
        <f t="shared" si="13"/>
        <v>30000</v>
      </c>
      <c r="M25" s="33">
        <f t="shared" si="13"/>
        <v>30000</v>
      </c>
      <c r="N25" s="33">
        <f t="shared" si="13"/>
        <v>30000</v>
      </c>
      <c r="O25" s="89"/>
      <c r="P25" s="42">
        <f t="shared" ref="P25:P28" si="18">COUNTIF(H25:O25,"&lt;&gt;0")+2</f>
        <v>9</v>
      </c>
      <c r="Q25" s="16"/>
    </row>
    <row r="26">
      <c r="A26" s="81"/>
      <c r="B26" s="82"/>
      <c r="C26" s="87">
        <v>25000.0</v>
      </c>
      <c r="D26" s="87" t="str">
        <f>H24</f>
        <v>Toàn</v>
      </c>
      <c r="E26" s="88"/>
      <c r="F26" s="84" t="b">
        <f t="shared" si="14"/>
        <v>1</v>
      </c>
      <c r="G26" s="33" t="s">
        <v>116</v>
      </c>
      <c r="H26" s="33">
        <f t="shared" si="15"/>
        <v>2777.777778</v>
      </c>
      <c r="I26" s="33">
        <f t="shared" ref="I26:J26" si="16">$C26/$C$9*2</f>
        <v>5555.555556</v>
      </c>
      <c r="J26" s="33">
        <f t="shared" si="16"/>
        <v>5555.555556</v>
      </c>
      <c r="K26" s="33">
        <f t="shared" ref="K26:N26" si="17">$C26/$C$9</f>
        <v>2777.777778</v>
      </c>
      <c r="L26" s="33">
        <f t="shared" si="17"/>
        <v>2777.777778</v>
      </c>
      <c r="M26" s="33">
        <f t="shared" si="17"/>
        <v>2777.777778</v>
      </c>
      <c r="N26" s="33">
        <f t="shared" si="17"/>
        <v>2777.777778</v>
      </c>
      <c r="O26" s="89"/>
      <c r="P26" s="42">
        <f t="shared" si="18"/>
        <v>9</v>
      </c>
      <c r="Q26" s="16"/>
    </row>
    <row r="27">
      <c r="A27" s="81"/>
      <c r="B27" s="82"/>
      <c r="C27" s="87">
        <v>25000.0</v>
      </c>
      <c r="D27" s="87" t="str">
        <f>N24</f>
        <v>Phan</v>
      </c>
      <c r="E27" s="88"/>
      <c r="F27" s="84" t="b">
        <f t="shared" si="14"/>
        <v>1</v>
      </c>
      <c r="G27" s="33" t="s">
        <v>116</v>
      </c>
      <c r="H27" s="33">
        <f t="shared" si="15"/>
        <v>2777.777778</v>
      </c>
      <c r="I27" s="33">
        <f t="shared" ref="I27:J27" si="19">$C27/$C$9*2</f>
        <v>5555.555556</v>
      </c>
      <c r="J27" s="33">
        <f t="shared" si="19"/>
        <v>5555.555556</v>
      </c>
      <c r="K27" s="33">
        <f t="shared" ref="K27:N27" si="20">$C27/$C$9</f>
        <v>2777.777778</v>
      </c>
      <c r="L27" s="33">
        <f t="shared" si="20"/>
        <v>2777.777778</v>
      </c>
      <c r="M27" s="33">
        <f t="shared" si="20"/>
        <v>2777.777778</v>
      </c>
      <c r="N27" s="33">
        <f t="shared" si="20"/>
        <v>2777.777778</v>
      </c>
      <c r="O27" s="89"/>
      <c r="P27" s="42">
        <f t="shared" si="18"/>
        <v>9</v>
      </c>
      <c r="Q27" s="16"/>
    </row>
    <row r="28">
      <c r="A28" s="81"/>
      <c r="B28" s="82"/>
      <c r="C28" s="87">
        <f>340000/12*3</f>
        <v>85000</v>
      </c>
      <c r="D28" s="87" t="str">
        <f>H24</f>
        <v>Toàn</v>
      </c>
      <c r="E28" s="88" t="s">
        <v>55</v>
      </c>
      <c r="F28" s="84" t="b">
        <f t="shared" si="14"/>
        <v>1</v>
      </c>
      <c r="G28" s="33" t="s">
        <v>119</v>
      </c>
      <c r="H28" s="33">
        <f t="shared" si="15"/>
        <v>9444.444444</v>
      </c>
      <c r="I28" s="33">
        <f t="shared" ref="I28:J28" si="21">$C28/$C$9*2</f>
        <v>18888.88889</v>
      </c>
      <c r="J28" s="33">
        <f t="shared" si="21"/>
        <v>18888.88889</v>
      </c>
      <c r="K28" s="33">
        <f t="shared" ref="K28:N28" si="22">$C28/$C$9</f>
        <v>9444.444444</v>
      </c>
      <c r="L28" s="33">
        <f t="shared" si="22"/>
        <v>9444.444444</v>
      </c>
      <c r="M28" s="33">
        <f t="shared" si="22"/>
        <v>9444.444444</v>
      </c>
      <c r="N28" s="33">
        <f t="shared" si="22"/>
        <v>9444.444444</v>
      </c>
      <c r="O28" s="89"/>
      <c r="P28" s="42">
        <f t="shared" si="18"/>
        <v>9</v>
      </c>
      <c r="Q28" s="16"/>
    </row>
    <row r="29" ht="6.0" customHeight="1">
      <c r="A29" s="81"/>
      <c r="B29" s="82"/>
      <c r="C29" s="82"/>
      <c r="D29" s="82"/>
      <c r="E29" s="83"/>
      <c r="F29" s="84"/>
      <c r="G29" s="32"/>
      <c r="H29" s="19"/>
      <c r="I29" s="19"/>
      <c r="J29" s="19"/>
      <c r="K29" s="32"/>
      <c r="L29" s="32"/>
      <c r="M29" s="32"/>
      <c r="N29" s="32"/>
      <c r="O29" s="32"/>
      <c r="P29" s="19"/>
      <c r="Q29" s="16"/>
    </row>
    <row r="30" ht="18.0" customHeight="1">
      <c r="A30" s="81"/>
      <c r="B30" s="82"/>
      <c r="C30" s="82"/>
      <c r="D30" s="82"/>
      <c r="E30" s="83"/>
      <c r="F30" s="84"/>
      <c r="G30" s="73" t="s">
        <v>68</v>
      </c>
      <c r="H30" s="14"/>
      <c r="I30" s="14"/>
      <c r="J30" s="14"/>
      <c r="K30" s="14"/>
      <c r="L30" s="14"/>
      <c r="M30" s="14"/>
      <c r="N30" s="14"/>
      <c r="O30" s="15"/>
      <c r="P30" s="19"/>
      <c r="Q30" s="16"/>
    </row>
    <row r="31" ht="3.75" customHeight="1">
      <c r="A31" s="81"/>
      <c r="B31" s="82"/>
      <c r="C31" s="82"/>
      <c r="D31" s="82"/>
      <c r="E31" s="83"/>
      <c r="F31" s="84"/>
      <c r="G31" s="32"/>
      <c r="H31" s="19"/>
      <c r="I31" s="19"/>
      <c r="J31" s="19"/>
      <c r="K31" s="32"/>
      <c r="L31" s="32"/>
      <c r="M31" s="32"/>
      <c r="N31" s="32"/>
      <c r="O31" s="32"/>
      <c r="P31" s="19"/>
      <c r="Q31" s="16"/>
    </row>
    <row r="32">
      <c r="A32" s="81"/>
      <c r="B32" s="82"/>
      <c r="C32" s="82"/>
      <c r="D32" s="82"/>
      <c r="E32" s="83"/>
      <c r="F32" s="84" t="b">
        <f t="shared" ref="F32:F34" si="23">If(C32 - round(sum(H32:O32),0) &lt; 5000, True, False)</f>
        <v>1</v>
      </c>
      <c r="G32" s="33" t="s">
        <v>121</v>
      </c>
      <c r="H32" s="33">
        <f t="array" ref="H32">-_xlfn.XLOOKUP(H$24,'2407'!$8:$8,'2407'!$18:$18)</f>
        <v>-176374.6667</v>
      </c>
      <c r="I32" s="33">
        <f t="array" ref="I32">-_xlfn.XLOOKUP(I$24,'2407'!$8:$8,'2407'!$18:$18)</f>
        <v>-150147.6667</v>
      </c>
      <c r="J32" s="89"/>
      <c r="K32" s="33">
        <f t="array" ref="K32">-_xlfn.XLOOKUP(K$24,'2407'!$8:$8,'2407'!$18:$18)</f>
        <v>387724.3333</v>
      </c>
      <c r="L32" s="89"/>
      <c r="M32" s="89"/>
      <c r="N32" s="89"/>
      <c r="O32" s="33">
        <f t="array" ref="O32">-_xlfn.XLOOKUP(O$24,'2407'!$8:$8,'2407'!$18:$18)</f>
        <v>-60000</v>
      </c>
      <c r="P32" s="42">
        <f t="shared" ref="P32:P34" si="24">COUNTIF(H32:O32,"&lt;&gt;0")</f>
        <v>4</v>
      </c>
      <c r="Q32" s="16"/>
    </row>
    <row r="33" ht="15.0" customHeight="1">
      <c r="A33" s="2"/>
      <c r="B33" s="8"/>
      <c r="C33" s="90"/>
      <c r="D33" s="8"/>
      <c r="E33" s="91"/>
      <c r="F33" s="84" t="b">
        <f t="shared" si="23"/>
        <v>1</v>
      </c>
      <c r="G33" s="33" t="s">
        <v>124</v>
      </c>
      <c r="H33" s="33">
        <v>-80000.0</v>
      </c>
      <c r="I33" s="89"/>
      <c r="J33" s="89"/>
      <c r="K33" s="33">
        <f>-H33</f>
        <v>80000</v>
      </c>
      <c r="L33" s="89"/>
      <c r="M33" s="89"/>
      <c r="N33" s="89"/>
      <c r="O33" s="89"/>
      <c r="P33" s="42">
        <f t="shared" si="24"/>
        <v>2</v>
      </c>
      <c r="Q33" s="2"/>
    </row>
    <row r="34" ht="15.0" customHeight="1">
      <c r="A34" s="2"/>
      <c r="B34" s="8"/>
      <c r="C34" s="90"/>
      <c r="D34" s="8"/>
      <c r="E34" s="91"/>
      <c r="F34" s="84" t="b">
        <f t="shared" si="23"/>
        <v>1</v>
      </c>
      <c r="G34" s="33" t="s">
        <v>125</v>
      </c>
      <c r="H34" s="33">
        <f>35000+15000+35000</f>
        <v>85000</v>
      </c>
      <c r="I34" s="33">
        <v>40000.0</v>
      </c>
      <c r="J34" s="89"/>
      <c r="K34" s="33">
        <f>-H34-I34</f>
        <v>-125000</v>
      </c>
      <c r="L34" s="89"/>
      <c r="M34" s="89"/>
      <c r="N34" s="89"/>
      <c r="O34" s="89"/>
      <c r="P34" s="42">
        <f t="shared" si="24"/>
        <v>3</v>
      </c>
      <c r="Q34" s="2"/>
    </row>
    <row r="35" ht="15.0" customHeight="1">
      <c r="A35" s="2"/>
      <c r="B35" s="8"/>
      <c r="C35" s="90"/>
      <c r="D35" s="8"/>
      <c r="E35" s="91"/>
      <c r="F35" s="92"/>
      <c r="G35" s="8"/>
      <c r="H35" s="8"/>
      <c r="I35" s="8"/>
      <c r="J35" s="8"/>
      <c r="K35" s="8"/>
      <c r="L35" s="8"/>
      <c r="M35" s="8"/>
      <c r="N35" s="8"/>
      <c r="O35" s="8"/>
      <c r="P35" s="8"/>
      <c r="Q35" s="2"/>
    </row>
    <row r="36" ht="15.0" customHeight="1">
      <c r="A36" s="2"/>
      <c r="B36" s="8"/>
      <c r="C36" s="93" t="s">
        <v>81</v>
      </c>
      <c r="D36" s="8"/>
      <c r="E36" s="91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"/>
    </row>
    <row r="37" ht="12.75" customHeight="1">
      <c r="A37" s="16"/>
      <c r="B37" s="19"/>
      <c r="C37" s="94"/>
      <c r="D37" s="95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105"/>
      <c r="P37" s="19"/>
      <c r="Q37" s="16"/>
    </row>
    <row r="38" ht="12.75" customHeight="1">
      <c r="A38" s="16"/>
      <c r="B38" s="19"/>
      <c r="C38" s="94"/>
      <c r="D38" s="98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6"/>
      <c r="P38" s="19"/>
      <c r="Q38" s="16"/>
    </row>
    <row r="39" ht="12.75" customHeight="1">
      <c r="A39" s="16"/>
      <c r="B39" s="19"/>
      <c r="C39" s="101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7"/>
      <c r="P39" s="19"/>
      <c r="Q39" s="16"/>
    </row>
    <row r="40" ht="19.5" customHeight="1">
      <c r="A40" s="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</sheetData>
  <mergeCells count="11">
    <mergeCell ref="D13:E13"/>
    <mergeCell ref="C22:E22"/>
    <mergeCell ref="G22:O22"/>
    <mergeCell ref="G30:O30"/>
    <mergeCell ref="C3:D3"/>
    <mergeCell ref="G5:O5"/>
    <mergeCell ref="C7:E7"/>
    <mergeCell ref="D8:E8"/>
    <mergeCell ref="D9:E9"/>
    <mergeCell ref="D10:E10"/>
    <mergeCell ref="D11:E11"/>
  </mergeCells>
  <conditionalFormatting sqref="A13:B14 F13:Q14">
    <cfRule type="containsText" dxfId="0" priority="1" operator="containsText" text="Chuyển tiền">
      <formula>NOT(ISERROR(SEARCH(("Chuyển tiền"),(A13))))</formula>
    </cfRule>
  </conditionalFormatting>
  <conditionalFormatting sqref="A13:B14 F13:Q14">
    <cfRule type="containsText" dxfId="1" priority="2" operator="containsText" text="Nhận tiền">
      <formula>NOT(ISERROR(SEARCH(("Nhận tiền"),(A13))))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2" max="17" width="11.75"/>
    <col customWidth="1" min="18" max="18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5"/>
      <c r="Q2" s="5"/>
      <c r="R2" s="2"/>
    </row>
    <row r="3" ht="16.5" customHeight="1">
      <c r="A3" s="2"/>
      <c r="B3" s="4"/>
      <c r="C3" s="6" t="s">
        <v>103</v>
      </c>
      <c r="D3" s="7"/>
      <c r="E3" s="8"/>
      <c r="F3" s="8"/>
      <c r="G3" s="9" t="s">
        <v>3</v>
      </c>
      <c r="H3" s="10">
        <f t="shared" ref="H3:P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10">
        <f t="shared" si="1"/>
        <v>9</v>
      </c>
      <c r="Q3" s="5"/>
      <c r="R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8"/>
      <c r="R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5"/>
      <c r="Q5" s="8"/>
      <c r="R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19"/>
      <c r="R6" s="16"/>
    </row>
    <row r="7" ht="15.75" customHeight="1">
      <c r="A7" s="16"/>
      <c r="B7" s="17"/>
      <c r="C7" s="104" t="s">
        <v>6</v>
      </c>
      <c r="F7" s="19"/>
      <c r="G7" s="23"/>
      <c r="H7" s="24"/>
      <c r="I7" s="24"/>
      <c r="J7" s="24"/>
      <c r="K7" s="24"/>
      <c r="L7" s="24"/>
      <c r="M7" s="25" t="s">
        <v>7</v>
      </c>
      <c r="N7" s="25" t="s">
        <v>7</v>
      </c>
      <c r="O7" s="25" t="s">
        <v>7</v>
      </c>
      <c r="P7" s="24"/>
      <c r="Q7" s="19"/>
      <c r="R7" s="16"/>
    </row>
    <row r="8" ht="18.0" customHeight="1">
      <c r="A8" s="16"/>
      <c r="B8" s="17"/>
      <c r="C8" s="26" t="s">
        <v>8</v>
      </c>
      <c r="D8" s="27" t="s">
        <v>9</v>
      </c>
      <c r="E8" s="15"/>
      <c r="F8" s="19"/>
      <c r="G8" s="28" t="s">
        <v>10</v>
      </c>
      <c r="H8" s="29" t="s">
        <v>11</v>
      </c>
      <c r="I8" s="29" t="s">
        <v>12</v>
      </c>
      <c r="J8" s="29" t="s">
        <v>13</v>
      </c>
      <c r="K8" s="29" t="s">
        <v>15</v>
      </c>
      <c r="L8" s="29" t="s">
        <v>107</v>
      </c>
      <c r="M8" s="29" t="s">
        <v>16</v>
      </c>
      <c r="N8" s="29" t="s">
        <v>33</v>
      </c>
      <c r="O8" s="29" t="s">
        <v>17</v>
      </c>
      <c r="P8" s="29" t="s">
        <v>21</v>
      </c>
      <c r="Q8" s="19"/>
      <c r="R8" s="16"/>
    </row>
    <row r="9">
      <c r="A9" s="16"/>
      <c r="B9" s="19"/>
      <c r="C9" s="30">
        <v>9.0</v>
      </c>
      <c r="D9" s="31" t="s">
        <v>108</v>
      </c>
      <c r="E9" s="15"/>
      <c r="F9" s="32"/>
      <c r="G9" s="33" t="str">
        <f>C22</f>
        <v>Tổng ứng trước</v>
      </c>
      <c r="H9" s="34">
        <f t="shared" ref="H9:P9" si="2">round(sumif($D:$D,H8,$C:$C),0)</f>
        <v>470000</v>
      </c>
      <c r="I9" s="34">
        <f t="shared" si="2"/>
        <v>0</v>
      </c>
      <c r="J9" s="34">
        <f t="shared" si="2"/>
        <v>0</v>
      </c>
      <c r="K9" s="34">
        <f t="shared" si="2"/>
        <v>0</v>
      </c>
      <c r="L9" s="34">
        <f t="shared" si="2"/>
        <v>0</v>
      </c>
      <c r="M9" s="34">
        <f t="shared" si="2"/>
        <v>0</v>
      </c>
      <c r="N9" s="34">
        <f t="shared" si="2"/>
        <v>0</v>
      </c>
      <c r="O9" s="34">
        <f t="shared" si="2"/>
        <v>0</v>
      </c>
      <c r="P9" s="34">
        <f t="shared" si="2"/>
        <v>0</v>
      </c>
      <c r="Q9" s="19"/>
      <c r="R9" s="16"/>
    </row>
    <row r="10">
      <c r="A10" s="16"/>
      <c r="B10" s="19"/>
      <c r="C10" s="35"/>
      <c r="D10" s="35"/>
      <c r="F10" s="32"/>
      <c r="G10" s="33" t="str">
        <f>"[-] "&amp;G22</f>
        <v>[-] Tổng chi phí</v>
      </c>
      <c r="H10" s="34">
        <f t="shared" ref="H10:P10" si="3">round(sum(H25:H26),0)</f>
        <v>0</v>
      </c>
      <c r="I10" s="34">
        <f t="shared" si="3"/>
        <v>104444</v>
      </c>
      <c r="J10" s="34">
        <f t="shared" si="3"/>
        <v>104444</v>
      </c>
      <c r="K10" s="34">
        <f t="shared" si="3"/>
        <v>52222</v>
      </c>
      <c r="L10" s="34">
        <f t="shared" si="3"/>
        <v>52222</v>
      </c>
      <c r="M10" s="34">
        <f t="shared" si="3"/>
        <v>52222</v>
      </c>
      <c r="N10" s="34">
        <f t="shared" si="3"/>
        <v>52222</v>
      </c>
      <c r="O10" s="34">
        <f t="shared" si="3"/>
        <v>52222</v>
      </c>
      <c r="P10" s="34">
        <f t="shared" si="3"/>
        <v>0</v>
      </c>
      <c r="Q10" s="19"/>
      <c r="R10" s="16"/>
    </row>
    <row r="11">
      <c r="A11" s="16"/>
      <c r="B11" s="19"/>
      <c r="C11" s="35"/>
      <c r="D11" s="35"/>
      <c r="F11" s="36"/>
      <c r="G11" s="37" t="str">
        <f>"[-] "&amp;G28</f>
        <v>[-] Bù trừ nợ đợt trước</v>
      </c>
      <c r="H11" s="38">
        <f t="shared" ref="H11:P11" si="4">Sum(H30:H39)</f>
        <v>-19706.66667</v>
      </c>
      <c r="I11" s="38">
        <f t="shared" si="4"/>
        <v>-254591.6667</v>
      </c>
      <c r="J11" s="38">
        <f t="shared" si="4"/>
        <v>0</v>
      </c>
      <c r="K11" s="38">
        <f t="shared" si="4"/>
        <v>335502.3333</v>
      </c>
      <c r="L11" s="38">
        <f t="shared" si="4"/>
        <v>0</v>
      </c>
      <c r="M11" s="38">
        <f t="shared" si="4"/>
        <v>0</v>
      </c>
      <c r="N11" s="38">
        <f t="shared" si="4"/>
        <v>0</v>
      </c>
      <c r="O11" s="38">
        <f t="shared" si="4"/>
        <v>0</v>
      </c>
      <c r="P11" s="38">
        <f t="shared" si="4"/>
        <v>-60000</v>
      </c>
      <c r="Q11" s="19"/>
      <c r="R11" s="16"/>
    </row>
    <row r="12">
      <c r="A12" s="16"/>
      <c r="B12" s="19"/>
      <c r="F12" s="36"/>
      <c r="G12" s="39" t="s">
        <v>36</v>
      </c>
      <c r="H12" s="40">
        <f t="shared" ref="H12:P12" si="5">H9-H10-H11</f>
        <v>489706.6667</v>
      </c>
      <c r="I12" s="40">
        <f t="shared" si="5"/>
        <v>150147.6667</v>
      </c>
      <c r="J12" s="40">
        <f t="shared" si="5"/>
        <v>-104444</v>
      </c>
      <c r="K12" s="40">
        <f t="shared" si="5"/>
        <v>-387724.3333</v>
      </c>
      <c r="L12" s="40">
        <f t="shared" si="5"/>
        <v>-52222</v>
      </c>
      <c r="M12" s="40">
        <f t="shared" si="5"/>
        <v>-52222</v>
      </c>
      <c r="N12" s="40">
        <f t="shared" si="5"/>
        <v>-52222</v>
      </c>
      <c r="O12" s="40">
        <f t="shared" si="5"/>
        <v>-52222</v>
      </c>
      <c r="P12" s="40">
        <f t="shared" si="5"/>
        <v>60000</v>
      </c>
      <c r="Q12" s="19"/>
      <c r="R12" s="16"/>
    </row>
    <row r="13" ht="6.0" customHeight="1">
      <c r="A13" s="41"/>
      <c r="B13" s="42"/>
      <c r="C13" s="43"/>
      <c r="D13" s="43"/>
      <c r="F13" s="42"/>
      <c r="G13" s="44"/>
      <c r="H13" s="45"/>
      <c r="I13" s="45"/>
      <c r="J13" s="45"/>
      <c r="K13" s="45"/>
      <c r="L13" s="45"/>
      <c r="M13" s="45"/>
      <c r="N13" s="45"/>
      <c r="O13" s="45"/>
      <c r="P13" s="45"/>
      <c r="Q13" s="42"/>
      <c r="R13" s="41"/>
    </row>
    <row r="14">
      <c r="A14" s="41"/>
      <c r="B14" s="42"/>
      <c r="F14" s="42"/>
      <c r="G14" s="46" t="s">
        <v>38</v>
      </c>
      <c r="H14" s="47" t="str">
        <f t="shared" ref="H14:P14" si="6">if(H12&lt;0,"Chuyển tiền","Nhận tiền")</f>
        <v>Nhận tiền</v>
      </c>
      <c r="I14" s="47" t="str">
        <f t="shared" si="6"/>
        <v>Nhận tiền</v>
      </c>
      <c r="J14" s="47" t="str">
        <f t="shared" si="6"/>
        <v>Chuyển tiền</v>
      </c>
      <c r="K14" s="47" t="str">
        <f t="shared" si="6"/>
        <v>Chuyển tiền</v>
      </c>
      <c r="L14" s="47" t="str">
        <f t="shared" si="6"/>
        <v>Chuyển tiền</v>
      </c>
      <c r="M14" s="47" t="str">
        <f t="shared" si="6"/>
        <v>Chuyển tiền</v>
      </c>
      <c r="N14" s="47" t="str">
        <f t="shared" si="6"/>
        <v>Chuyển tiền</v>
      </c>
      <c r="O14" s="47" t="str">
        <f t="shared" si="6"/>
        <v>Chuyển tiền</v>
      </c>
      <c r="P14" s="47" t="str">
        <f t="shared" si="6"/>
        <v>Nhận tiền</v>
      </c>
      <c r="Q14" s="42"/>
      <c r="R14" s="41"/>
    </row>
    <row r="15" ht="6.75" customHeight="1">
      <c r="A15" s="48"/>
      <c r="B15" s="49"/>
      <c r="C15" s="50"/>
      <c r="D15" s="50"/>
      <c r="E15" s="49"/>
      <c r="F15" s="49"/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49"/>
      <c r="R15" s="48"/>
    </row>
    <row r="16">
      <c r="A16" s="48"/>
      <c r="B16" s="49"/>
      <c r="C16" s="50"/>
      <c r="D16" s="50"/>
      <c r="E16" s="49"/>
      <c r="F16" s="49"/>
      <c r="G16" s="53" t="s">
        <v>39</v>
      </c>
      <c r="H16" s="54">
        <f>-sum(I16:P16)</f>
        <v>-313332</v>
      </c>
      <c r="I16" s="55"/>
      <c r="J16" s="55">
        <f>-J12</f>
        <v>104444</v>
      </c>
      <c r="K16" s="55"/>
      <c r="L16" s="55">
        <f t="shared" ref="L16:O16" si="7">-L12</f>
        <v>52222</v>
      </c>
      <c r="M16" s="55">
        <f t="shared" si="7"/>
        <v>52222</v>
      </c>
      <c r="N16" s="55">
        <f t="shared" si="7"/>
        <v>52222</v>
      </c>
      <c r="O16" s="55">
        <f t="shared" si="7"/>
        <v>52222</v>
      </c>
      <c r="P16" s="55"/>
      <c r="Q16" s="49"/>
      <c r="R16" s="48"/>
    </row>
    <row r="17" ht="6.0" customHeight="1">
      <c r="A17" s="16"/>
      <c r="B17" s="19"/>
      <c r="C17" s="50"/>
      <c r="D17" s="5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6"/>
    </row>
    <row r="18">
      <c r="A18" s="16"/>
      <c r="B18" s="19"/>
      <c r="C18" s="50"/>
      <c r="D18" s="50"/>
      <c r="E18" s="19"/>
      <c r="F18" s="19"/>
      <c r="G18" s="51" t="s">
        <v>41</v>
      </c>
      <c r="H18" s="56">
        <f t="shared" ref="H18:P18" si="8">H12+H16</f>
        <v>176374.6667</v>
      </c>
      <c r="I18" s="56">
        <f t="shared" si="8"/>
        <v>150147.6667</v>
      </c>
      <c r="J18" s="56">
        <f t="shared" si="8"/>
        <v>0</v>
      </c>
      <c r="K18" s="56">
        <f t="shared" si="8"/>
        <v>-387724.3333</v>
      </c>
      <c r="L18" s="56">
        <f t="shared" si="8"/>
        <v>0</v>
      </c>
      <c r="M18" s="56">
        <f t="shared" si="8"/>
        <v>0</v>
      </c>
      <c r="N18" s="56">
        <f t="shared" si="8"/>
        <v>0</v>
      </c>
      <c r="O18" s="56">
        <f t="shared" si="8"/>
        <v>0</v>
      </c>
      <c r="P18" s="56">
        <f t="shared" si="8"/>
        <v>60000</v>
      </c>
      <c r="Q18" s="19"/>
      <c r="R18" s="16"/>
    </row>
    <row r="19" ht="24.75" customHeight="1">
      <c r="A19" s="57"/>
      <c r="B19" s="58"/>
      <c r="C19" s="59"/>
      <c r="D19" s="59"/>
      <c r="E19" s="59"/>
      <c r="F19" s="60"/>
      <c r="G19" s="61" t="s">
        <v>42</v>
      </c>
      <c r="H19" s="62" t="str">
        <f t="shared" ref="H19:L19" si="9">IF(AND(H18&gt;=-3000,H18&lt;=1000), "Done", "")</f>
        <v/>
      </c>
      <c r="I19" s="62" t="str">
        <f t="shared" si="9"/>
        <v/>
      </c>
      <c r="J19" s="62" t="str">
        <f t="shared" si="9"/>
        <v>Done</v>
      </c>
      <c r="K19" s="62" t="str">
        <f t="shared" si="9"/>
        <v/>
      </c>
      <c r="L19" s="62" t="str">
        <f t="shared" si="9"/>
        <v>Done</v>
      </c>
      <c r="M19" s="62" t="str">
        <f t="shared" ref="M19:P19" si="10">IF(AND(M18&gt;=-3000,M18&lt;=2000), "Done", "")</f>
        <v>Done</v>
      </c>
      <c r="N19" s="62" t="str">
        <f t="shared" si="10"/>
        <v>Done</v>
      </c>
      <c r="O19" s="62" t="str">
        <f t="shared" si="10"/>
        <v>Done</v>
      </c>
      <c r="P19" s="62" t="str">
        <f t="shared" si="10"/>
        <v/>
      </c>
      <c r="Q19" s="19"/>
      <c r="R19" s="16"/>
    </row>
    <row r="20" ht="6.0" customHeight="1">
      <c r="A20" s="63"/>
      <c r="B20" s="64"/>
      <c r="C20" s="65"/>
      <c r="D20" s="65"/>
      <c r="E20" s="65"/>
      <c r="F20" s="65"/>
      <c r="G20" s="66"/>
      <c r="H20" s="66"/>
      <c r="I20" s="66"/>
      <c r="J20" s="67"/>
      <c r="K20" s="66"/>
      <c r="L20" s="66"/>
      <c r="M20" s="66"/>
      <c r="N20" s="66"/>
      <c r="O20" s="66"/>
      <c r="P20" s="66"/>
      <c r="Q20" s="8"/>
      <c r="R20" s="2"/>
    </row>
    <row r="21" ht="32.25" customHeight="1">
      <c r="A21" s="63"/>
      <c r="B21" s="64"/>
      <c r="C21" s="68" t="s">
        <v>43</v>
      </c>
      <c r="D21" s="59"/>
      <c r="E21" s="59"/>
      <c r="F21" s="69"/>
      <c r="G21" s="70"/>
      <c r="H21" s="70"/>
      <c r="I21" s="70"/>
      <c r="J21" s="71"/>
      <c r="K21" s="70"/>
      <c r="L21" s="70"/>
      <c r="M21" s="70"/>
      <c r="N21" s="70"/>
      <c r="O21" s="70"/>
      <c r="P21" s="70"/>
      <c r="Q21" s="8"/>
      <c r="R21" s="2"/>
    </row>
    <row r="22" ht="21.75" customHeight="1">
      <c r="A22" s="57"/>
      <c r="B22" s="58"/>
      <c r="C22" s="72" t="s">
        <v>44</v>
      </c>
      <c r="F22" s="60"/>
      <c r="G22" s="73" t="s">
        <v>45</v>
      </c>
      <c r="H22" s="14"/>
      <c r="I22" s="14"/>
      <c r="J22" s="14"/>
      <c r="K22" s="14"/>
      <c r="L22" s="14"/>
      <c r="M22" s="14"/>
      <c r="N22" s="14"/>
      <c r="O22" s="14"/>
      <c r="P22" s="15"/>
      <c r="Q22" s="19"/>
      <c r="R22" s="16"/>
    </row>
    <row r="23" ht="5.25" customHeight="1">
      <c r="A23" s="57"/>
      <c r="B23" s="74"/>
      <c r="C23" s="74"/>
      <c r="D23" s="74"/>
      <c r="E23" s="75"/>
      <c r="F23" s="76"/>
      <c r="G23" s="23"/>
      <c r="H23" s="21"/>
      <c r="I23" s="21"/>
      <c r="J23" s="21"/>
      <c r="K23" s="21"/>
      <c r="L23" s="21"/>
      <c r="M23" s="21"/>
      <c r="N23" s="21"/>
      <c r="O23" s="21"/>
      <c r="P23" s="21"/>
      <c r="Q23" s="17"/>
      <c r="R23" s="16"/>
    </row>
    <row r="24">
      <c r="A24" s="57"/>
      <c r="B24" s="58"/>
      <c r="C24" s="77" t="s">
        <v>46</v>
      </c>
      <c r="D24" s="77" t="s">
        <v>47</v>
      </c>
      <c r="E24" s="78" t="s">
        <v>48</v>
      </c>
      <c r="F24" s="79" t="s">
        <v>49</v>
      </c>
      <c r="G24" s="28" t="s">
        <v>50</v>
      </c>
      <c r="H24" s="29" t="str">
        <f t="shared" ref="H24:P24" si="11">H8</f>
        <v>Toàn</v>
      </c>
      <c r="I24" s="29" t="str">
        <f t="shared" si="11"/>
        <v>Trường + Thủy</v>
      </c>
      <c r="J24" s="29" t="str">
        <f t="shared" si="11"/>
        <v>Băng + Tâm</v>
      </c>
      <c r="K24" s="29" t="str">
        <f t="shared" si="11"/>
        <v>Kiên</v>
      </c>
      <c r="L24" s="29" t="str">
        <f t="shared" si="11"/>
        <v>Tiến</v>
      </c>
      <c r="M24" s="29" t="str">
        <f t="shared" si="11"/>
        <v>Thái</v>
      </c>
      <c r="N24" s="29" t="str">
        <f t="shared" si="11"/>
        <v>Thanh</v>
      </c>
      <c r="O24" s="29" t="str">
        <f t="shared" si="11"/>
        <v>Thảo</v>
      </c>
      <c r="P24" s="29" t="str">
        <f t="shared" si="11"/>
        <v>Quân</v>
      </c>
      <c r="Q24" s="80" t="s">
        <v>8</v>
      </c>
      <c r="R24" s="16"/>
    </row>
    <row r="25">
      <c r="A25" s="57"/>
      <c r="B25" s="82"/>
      <c r="C25" s="87">
        <v>300000.0</v>
      </c>
      <c r="D25" s="87" t="str">
        <f>H24</f>
        <v>Toàn</v>
      </c>
      <c r="E25" s="88"/>
      <c r="F25" s="84" t="b">
        <f t="shared" ref="F25:F26" si="14">C25=sum(H25:P25)</f>
        <v>1</v>
      </c>
      <c r="G25" s="33" t="s">
        <v>120</v>
      </c>
      <c r="H25" s="89"/>
      <c r="I25" s="33">
        <f t="shared" ref="I25:J25" si="12">$C25/$C$9*2</f>
        <v>66666.66667</v>
      </c>
      <c r="J25" s="33">
        <f t="shared" si="12"/>
        <v>66666.66667</v>
      </c>
      <c r="K25" s="33">
        <f t="shared" ref="K25:O25" si="13">$C25/$C$9</f>
        <v>33333.33333</v>
      </c>
      <c r="L25" s="33">
        <f t="shared" si="13"/>
        <v>33333.33333</v>
      </c>
      <c r="M25" s="33">
        <f t="shared" si="13"/>
        <v>33333.33333</v>
      </c>
      <c r="N25" s="33">
        <f t="shared" si="13"/>
        <v>33333.33333</v>
      </c>
      <c r="O25" s="33">
        <f t="shared" si="13"/>
        <v>33333.33333</v>
      </c>
      <c r="P25" s="89"/>
      <c r="Q25" s="42">
        <f t="shared" ref="Q25:Q26" si="17">COUNTIF(H25:P25,"&lt;&gt;0")+2</f>
        <v>9</v>
      </c>
      <c r="R25" s="16"/>
    </row>
    <row r="26">
      <c r="A26" s="81"/>
      <c r="B26" s="82"/>
      <c r="C26" s="87">
        <f>340000/12*6</f>
        <v>170000</v>
      </c>
      <c r="D26" s="87" t="str">
        <f>H24</f>
        <v>Toàn</v>
      </c>
      <c r="E26" s="88" t="s">
        <v>55</v>
      </c>
      <c r="F26" s="84" t="b">
        <f t="shared" si="14"/>
        <v>1</v>
      </c>
      <c r="G26" s="33" t="s">
        <v>122</v>
      </c>
      <c r="H26" s="89"/>
      <c r="I26" s="33">
        <f t="shared" ref="I26:J26" si="15">$C26/$C$9*2</f>
        <v>37777.77778</v>
      </c>
      <c r="J26" s="33">
        <f t="shared" si="15"/>
        <v>37777.77778</v>
      </c>
      <c r="K26" s="33">
        <f t="shared" ref="K26:O26" si="16">$C26/$C$9</f>
        <v>18888.88889</v>
      </c>
      <c r="L26" s="33">
        <f t="shared" si="16"/>
        <v>18888.88889</v>
      </c>
      <c r="M26" s="33">
        <f t="shared" si="16"/>
        <v>18888.88889</v>
      </c>
      <c r="N26" s="33">
        <f t="shared" si="16"/>
        <v>18888.88889</v>
      </c>
      <c r="O26" s="33">
        <f t="shared" si="16"/>
        <v>18888.88889</v>
      </c>
      <c r="P26" s="89"/>
      <c r="Q26" s="42">
        <f t="shared" si="17"/>
        <v>9</v>
      </c>
      <c r="R26" s="16"/>
    </row>
    <row r="27" ht="6.0" customHeight="1">
      <c r="A27" s="81"/>
      <c r="B27" s="82"/>
      <c r="C27" s="82"/>
      <c r="D27" s="82"/>
      <c r="E27" s="83"/>
      <c r="F27" s="84"/>
      <c r="G27" s="32"/>
      <c r="H27" s="19"/>
      <c r="I27" s="19"/>
      <c r="J27" s="19"/>
      <c r="K27" s="32"/>
      <c r="L27" s="19"/>
      <c r="M27" s="32"/>
      <c r="N27" s="32"/>
      <c r="O27" s="32"/>
      <c r="P27" s="32"/>
      <c r="Q27" s="19"/>
      <c r="R27" s="16"/>
    </row>
    <row r="28" ht="18.0" customHeight="1">
      <c r="A28" s="81"/>
      <c r="B28" s="82"/>
      <c r="C28" s="82"/>
      <c r="D28" s="82"/>
      <c r="E28" s="83"/>
      <c r="F28" s="84"/>
      <c r="G28" s="73" t="s">
        <v>68</v>
      </c>
      <c r="H28" s="14"/>
      <c r="I28" s="14"/>
      <c r="J28" s="14"/>
      <c r="K28" s="14"/>
      <c r="L28" s="14"/>
      <c r="M28" s="14"/>
      <c r="N28" s="14"/>
      <c r="O28" s="14"/>
      <c r="P28" s="15"/>
      <c r="Q28" s="19"/>
      <c r="R28" s="16"/>
    </row>
    <row r="29" ht="3.75" customHeight="1">
      <c r="A29" s="81"/>
      <c r="B29" s="82"/>
      <c r="C29" s="82"/>
      <c r="D29" s="82"/>
      <c r="E29" s="83"/>
      <c r="F29" s="84"/>
      <c r="G29" s="32"/>
      <c r="H29" s="19"/>
      <c r="I29" s="19"/>
      <c r="J29" s="19"/>
      <c r="K29" s="32"/>
      <c r="L29" s="19"/>
      <c r="M29" s="32"/>
      <c r="N29" s="32"/>
      <c r="O29" s="32"/>
      <c r="P29" s="32"/>
      <c r="Q29" s="19"/>
      <c r="R29" s="16"/>
    </row>
    <row r="30">
      <c r="A30" s="81"/>
      <c r="B30" s="82"/>
      <c r="C30" s="82"/>
      <c r="D30" s="82"/>
      <c r="E30" s="83"/>
      <c r="F30" s="84" t="b">
        <f t="shared" ref="F30:F32" si="18">If(C30 - round(sum(H30:P30),0) &lt; 5000, True, False)</f>
        <v>1</v>
      </c>
      <c r="G30" s="33" t="s">
        <v>128</v>
      </c>
      <c r="H30" s="33">
        <f t="array" ref="H30">-_xlfn.XLOOKUP(H$24,'1807'!$7:$7,'1807'!$17:$17)</f>
        <v>58293.33333</v>
      </c>
      <c r="I30" s="33">
        <f t="array" ref="I30">-_xlfn.XLOOKUP(I$24,'1807'!$7:$7,'1807'!$17:$17)</f>
        <v>-254591.6667</v>
      </c>
      <c r="J30" s="89"/>
      <c r="K30" s="33">
        <f t="array" ref="K30">-_xlfn.XLOOKUP(K$24,'1807'!$7:$7,'1807'!$17:$17)</f>
        <v>257502.3333</v>
      </c>
      <c r="L30" s="89"/>
      <c r="M30" s="89"/>
      <c r="N30" s="89"/>
      <c r="O30" s="89"/>
      <c r="P30" s="33">
        <f t="array" ref="P30">-_xlfn.XLOOKUP(P$24,'1807'!$7:$7,'1807'!$17:$17)</f>
        <v>-60000</v>
      </c>
      <c r="Q30" s="42">
        <f t="shared" ref="Q30:Q32" si="19">COUNTIF(H30:P30,"&lt;&gt;0")</f>
        <v>4</v>
      </c>
      <c r="R30" s="16"/>
    </row>
    <row r="31" ht="15.0" customHeight="1">
      <c r="A31" s="2"/>
      <c r="B31" s="8"/>
      <c r="C31" s="90"/>
      <c r="D31" s="8"/>
      <c r="E31" s="91"/>
      <c r="F31" s="84" t="b">
        <f t="shared" si="18"/>
        <v>1</v>
      </c>
      <c r="G31" s="33" t="s">
        <v>130</v>
      </c>
      <c r="H31" s="33">
        <v>-28000.0</v>
      </c>
      <c r="I31" s="89"/>
      <c r="J31" s="89"/>
      <c r="K31" s="33">
        <v>28000.0</v>
      </c>
      <c r="L31" s="89"/>
      <c r="M31" s="89"/>
      <c r="N31" s="89"/>
      <c r="O31" s="89"/>
      <c r="P31" s="89"/>
      <c r="Q31" s="42">
        <f t="shared" si="19"/>
        <v>2</v>
      </c>
      <c r="R31" s="2"/>
    </row>
    <row r="32" ht="15.0" customHeight="1">
      <c r="A32" s="2"/>
      <c r="B32" s="8"/>
      <c r="C32" s="90"/>
      <c r="D32" s="8"/>
      <c r="E32" s="91"/>
      <c r="F32" s="84" t="b">
        <f t="shared" si="18"/>
        <v>1</v>
      </c>
      <c r="G32" s="33" t="s">
        <v>131</v>
      </c>
      <c r="H32" s="33">
        <v>-50000.0</v>
      </c>
      <c r="I32" s="89"/>
      <c r="J32" s="89"/>
      <c r="K32" s="33">
        <v>50000.0</v>
      </c>
      <c r="L32" s="89"/>
      <c r="M32" s="89"/>
      <c r="N32" s="89"/>
      <c r="O32" s="89"/>
      <c r="P32" s="89"/>
      <c r="Q32" s="42">
        <f t="shared" si="19"/>
        <v>2</v>
      </c>
      <c r="R32" s="2"/>
    </row>
    <row r="33" ht="15.0" customHeight="1">
      <c r="A33" s="2"/>
      <c r="B33" s="8"/>
      <c r="C33" s="90"/>
      <c r="D33" s="8"/>
      <c r="E33" s="91"/>
      <c r="F33" s="9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2"/>
    </row>
    <row r="34" ht="15.0" customHeight="1">
      <c r="A34" s="2"/>
      <c r="B34" s="8"/>
      <c r="C34" s="93" t="s">
        <v>81</v>
      </c>
      <c r="D34" s="8"/>
      <c r="E34" s="9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2"/>
    </row>
    <row r="35" ht="12.75" customHeight="1">
      <c r="A35" s="16"/>
      <c r="B35" s="19"/>
      <c r="C35" s="94"/>
      <c r="D35" s="95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105"/>
      <c r="Q35" s="19"/>
      <c r="R35" s="16"/>
    </row>
    <row r="36" ht="12.75" customHeight="1">
      <c r="A36" s="16"/>
      <c r="B36" s="19"/>
      <c r="C36" s="94"/>
      <c r="D36" s="98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106"/>
      <c r="Q36" s="19"/>
      <c r="R36" s="16"/>
    </row>
    <row r="37" ht="12.75" customHeight="1">
      <c r="A37" s="16"/>
      <c r="B37" s="19"/>
      <c r="C37" s="101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7"/>
      <c r="Q37" s="19"/>
      <c r="R37" s="16"/>
    </row>
    <row r="38" ht="19.5" customHeight="1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mergeCells count="11">
    <mergeCell ref="D13:E13"/>
    <mergeCell ref="C22:E22"/>
    <mergeCell ref="G22:P22"/>
    <mergeCell ref="G28:P28"/>
    <mergeCell ref="C3:D3"/>
    <mergeCell ref="G5:P5"/>
    <mergeCell ref="C7:E7"/>
    <mergeCell ref="D8:E8"/>
    <mergeCell ref="D9:E9"/>
    <mergeCell ref="D10:E10"/>
    <mergeCell ref="D11:E11"/>
  </mergeCells>
  <conditionalFormatting sqref="A13:B14 F13:R14">
    <cfRule type="containsText" dxfId="0" priority="1" operator="containsText" text="Chuyển tiền">
      <formula>NOT(ISERROR(SEARCH(("Chuyển tiền"),(A13))))</formula>
    </cfRule>
  </conditionalFormatting>
  <conditionalFormatting sqref="A13:B14 F13:R14">
    <cfRule type="containsText" dxfId="1" priority="2" operator="containsText" text="Nhận tiền">
      <formula>NOT(ISERROR(SEARCH(("Nhận tiền"),(A13))))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2" max="17" width="11.75"/>
    <col customWidth="1" min="18" max="18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5"/>
      <c r="Q2" s="5"/>
      <c r="R2" s="2"/>
    </row>
    <row r="3" ht="16.5" customHeight="1">
      <c r="A3" s="2"/>
      <c r="B3" s="4"/>
      <c r="C3" s="6" t="s">
        <v>106</v>
      </c>
      <c r="D3" s="7"/>
      <c r="E3" s="8"/>
      <c r="F3" s="8"/>
      <c r="G3" s="9" t="s">
        <v>3</v>
      </c>
      <c r="H3" s="10">
        <f t="shared" ref="H3:P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10">
        <f t="shared" si="1"/>
        <v>9</v>
      </c>
      <c r="Q3" s="5"/>
      <c r="R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8"/>
      <c r="R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5"/>
      <c r="Q5" s="8"/>
      <c r="R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19"/>
      <c r="R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12</v>
      </c>
      <c r="J7" s="29" t="s">
        <v>34</v>
      </c>
      <c r="K7" s="29" t="s">
        <v>13</v>
      </c>
      <c r="L7" s="29" t="s">
        <v>15</v>
      </c>
      <c r="M7" s="29" t="s">
        <v>14</v>
      </c>
      <c r="N7" s="29" t="s">
        <v>25</v>
      </c>
      <c r="O7" s="29" t="s">
        <v>21</v>
      </c>
      <c r="P7" s="29" t="s">
        <v>107</v>
      </c>
      <c r="Q7" s="19"/>
      <c r="R7" s="16"/>
    </row>
    <row r="8">
      <c r="A8" s="16"/>
      <c r="B8" s="19"/>
      <c r="C8" s="30">
        <v>7.0</v>
      </c>
      <c r="D8" s="31" t="s">
        <v>110</v>
      </c>
      <c r="E8" s="15"/>
      <c r="F8" s="32"/>
      <c r="G8" s="33" t="str">
        <f>C21</f>
        <v>Tổng ứng trước</v>
      </c>
      <c r="H8" s="34">
        <f t="shared" ref="H8:P8" si="2">round(sumif($D:$D,H7,$C:$C),0)</f>
        <v>383333</v>
      </c>
      <c r="I8" s="34">
        <f t="shared" si="2"/>
        <v>0</v>
      </c>
      <c r="J8" s="34">
        <f t="shared" si="2"/>
        <v>0</v>
      </c>
      <c r="K8" s="34">
        <f t="shared" si="2"/>
        <v>0</v>
      </c>
      <c r="L8" s="34">
        <f t="shared" si="2"/>
        <v>18000</v>
      </c>
      <c r="M8" s="34">
        <f t="shared" si="2"/>
        <v>0</v>
      </c>
      <c r="N8" s="34">
        <f t="shared" si="2"/>
        <v>0</v>
      </c>
      <c r="O8" s="34">
        <f t="shared" si="2"/>
        <v>0</v>
      </c>
      <c r="P8" s="34">
        <f t="shared" si="2"/>
        <v>0</v>
      </c>
      <c r="Q8" s="19"/>
      <c r="R8" s="16"/>
    </row>
    <row r="9">
      <c r="A9" s="16"/>
      <c r="B9" s="19"/>
      <c r="C9" s="35"/>
      <c r="D9" s="35"/>
      <c r="F9" s="32"/>
      <c r="G9" s="33" t="str">
        <f>"[-] "&amp;G21</f>
        <v>[-] Tổng chi phí</v>
      </c>
      <c r="H9" s="34">
        <f t="shared" ref="H9:P9" si="3">round(sum(H24:H26),0)</f>
        <v>57762</v>
      </c>
      <c r="I9" s="34">
        <f t="shared" si="3"/>
        <v>57762</v>
      </c>
      <c r="J9" s="34">
        <f t="shared" si="3"/>
        <v>54762</v>
      </c>
      <c r="K9" s="34">
        <f t="shared" si="3"/>
        <v>57762</v>
      </c>
      <c r="L9" s="34">
        <f t="shared" si="3"/>
        <v>57762</v>
      </c>
      <c r="M9" s="34">
        <f t="shared" si="3"/>
        <v>57762</v>
      </c>
      <c r="N9" s="34">
        <f t="shared" si="3"/>
        <v>57762</v>
      </c>
      <c r="O9" s="34">
        <f t="shared" si="3"/>
        <v>0</v>
      </c>
      <c r="P9" s="34">
        <f t="shared" si="3"/>
        <v>0</v>
      </c>
      <c r="Q9" s="19"/>
      <c r="R9" s="16"/>
    </row>
    <row r="10">
      <c r="A10" s="16"/>
      <c r="B10" s="19"/>
      <c r="C10" s="35"/>
      <c r="D10" s="35"/>
      <c r="F10" s="36"/>
      <c r="G10" s="37" t="str">
        <f>"[-] "&amp;G28</f>
        <v>[-] Bù trừ nợ đợt trước</v>
      </c>
      <c r="H10" s="38">
        <f t="shared" ref="H10:P10" si="4">Sum(H30:H39)</f>
        <v>45884.33333</v>
      </c>
      <c r="I10" s="38">
        <f t="shared" si="4"/>
        <v>-312353.6667</v>
      </c>
      <c r="J10" s="38">
        <f t="shared" si="4"/>
        <v>75000</v>
      </c>
      <c r="K10" s="38">
        <f t="shared" si="4"/>
        <v>0</v>
      </c>
      <c r="L10" s="38">
        <f t="shared" si="4"/>
        <v>217740.3333</v>
      </c>
      <c r="M10" s="38">
        <f t="shared" si="4"/>
        <v>0</v>
      </c>
      <c r="N10" s="38">
        <f t="shared" si="4"/>
        <v>0</v>
      </c>
      <c r="O10" s="38">
        <f t="shared" si="4"/>
        <v>-60000</v>
      </c>
      <c r="P10" s="38">
        <f t="shared" si="4"/>
        <v>34932</v>
      </c>
      <c r="Q10" s="19"/>
      <c r="R10" s="16"/>
    </row>
    <row r="11">
      <c r="A11" s="16"/>
      <c r="B11" s="19"/>
      <c r="F11" s="36"/>
      <c r="G11" s="39" t="s">
        <v>36</v>
      </c>
      <c r="H11" s="40">
        <f t="shared" ref="H11:P11" si="5">H8-H9-H10</f>
        <v>279686.6667</v>
      </c>
      <c r="I11" s="40">
        <f t="shared" si="5"/>
        <v>254591.6667</v>
      </c>
      <c r="J11" s="40">
        <f t="shared" si="5"/>
        <v>-129762</v>
      </c>
      <c r="K11" s="40">
        <f t="shared" si="5"/>
        <v>-57762</v>
      </c>
      <c r="L11" s="40">
        <f t="shared" si="5"/>
        <v>-257502.3333</v>
      </c>
      <c r="M11" s="40">
        <f t="shared" si="5"/>
        <v>-57762</v>
      </c>
      <c r="N11" s="40">
        <f t="shared" si="5"/>
        <v>-57762</v>
      </c>
      <c r="O11" s="40">
        <f t="shared" si="5"/>
        <v>60000</v>
      </c>
      <c r="P11" s="40">
        <f t="shared" si="5"/>
        <v>-34932</v>
      </c>
      <c r="Q11" s="19"/>
      <c r="R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5"/>
      <c r="P12" s="45"/>
      <c r="Q12" s="42"/>
      <c r="R12" s="41"/>
    </row>
    <row r="13">
      <c r="A13" s="41"/>
      <c r="B13" s="42"/>
      <c r="F13" s="42"/>
      <c r="G13" s="46" t="s">
        <v>38</v>
      </c>
      <c r="H13" s="47" t="str">
        <f t="shared" ref="H13:P13" si="6">if(H11&lt;0,"Chuyển tiền","Nhận tiền")</f>
        <v>Nhận tiền</v>
      </c>
      <c r="I13" s="47" t="str">
        <f t="shared" si="6"/>
        <v>Nhận tiền</v>
      </c>
      <c r="J13" s="47" t="str">
        <f t="shared" si="6"/>
        <v>Chuyển tiền</v>
      </c>
      <c r="K13" s="47" t="str">
        <f t="shared" si="6"/>
        <v>Chuyển tiền</v>
      </c>
      <c r="L13" s="47" t="str">
        <f t="shared" si="6"/>
        <v>Chuyển tiền</v>
      </c>
      <c r="M13" s="47" t="str">
        <f t="shared" si="6"/>
        <v>Chuyển tiền</v>
      </c>
      <c r="N13" s="47" t="str">
        <f t="shared" si="6"/>
        <v>Chuyển tiền</v>
      </c>
      <c r="O13" s="47" t="str">
        <f t="shared" si="6"/>
        <v>Nhận tiền</v>
      </c>
      <c r="P13" s="47" t="str">
        <f t="shared" si="6"/>
        <v>Chuyển tiền</v>
      </c>
      <c r="Q13" s="42"/>
      <c r="R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49"/>
      <c r="R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-sum(I15:P15)</f>
        <v>-337980</v>
      </c>
      <c r="I15" s="55"/>
      <c r="J15" s="55">
        <v>129762.0</v>
      </c>
      <c r="K15" s="55">
        <f>-K11</f>
        <v>57762</v>
      </c>
      <c r="L15" s="55"/>
      <c r="M15" s="55">
        <f t="shared" ref="M15:N15" si="7">-M11</f>
        <v>57762</v>
      </c>
      <c r="N15" s="55">
        <f t="shared" si="7"/>
        <v>57762</v>
      </c>
      <c r="O15" s="55"/>
      <c r="P15" s="55">
        <f>-P11</f>
        <v>34932</v>
      </c>
      <c r="Q15" s="49"/>
      <c r="R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6"/>
    </row>
    <row r="17">
      <c r="A17" s="16"/>
      <c r="B17" s="19"/>
      <c r="C17" s="50"/>
      <c r="D17" s="50"/>
      <c r="E17" s="19"/>
      <c r="F17" s="19"/>
      <c r="G17" s="51" t="s">
        <v>41</v>
      </c>
      <c r="H17" s="56">
        <f t="shared" ref="H17:P17" si="8">H11+H15</f>
        <v>-58293.33333</v>
      </c>
      <c r="I17" s="56">
        <f t="shared" si="8"/>
        <v>254591.6667</v>
      </c>
      <c r="J17" s="56">
        <f t="shared" si="8"/>
        <v>0</v>
      </c>
      <c r="K17" s="56">
        <f t="shared" si="8"/>
        <v>0</v>
      </c>
      <c r="L17" s="56">
        <f t="shared" si="8"/>
        <v>-257502.3333</v>
      </c>
      <c r="M17" s="56">
        <f t="shared" si="8"/>
        <v>0</v>
      </c>
      <c r="N17" s="56">
        <f t="shared" si="8"/>
        <v>0</v>
      </c>
      <c r="O17" s="56">
        <f t="shared" si="8"/>
        <v>60000</v>
      </c>
      <c r="P17" s="56">
        <f t="shared" si="8"/>
        <v>0</v>
      </c>
      <c r="Q17" s="19"/>
      <c r="R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 t="shared" ref="H18:L18" si="9">IF(AND(H17&gt;=-3000,H17&lt;=1000), "Done", "")</f>
        <v/>
      </c>
      <c r="I18" s="62" t="str">
        <f t="shared" si="9"/>
        <v/>
      </c>
      <c r="J18" s="62" t="str">
        <f t="shared" si="9"/>
        <v>Done</v>
      </c>
      <c r="K18" s="62" t="str">
        <f t="shared" si="9"/>
        <v>Done</v>
      </c>
      <c r="L18" s="62" t="str">
        <f t="shared" si="9"/>
        <v/>
      </c>
      <c r="M18" s="62" t="str">
        <f t="shared" ref="M18:P18" si="10">IF(AND(M17&gt;=-3000,M17&lt;=2000), "Done", "")</f>
        <v>Done</v>
      </c>
      <c r="N18" s="62" t="str">
        <f t="shared" si="10"/>
        <v>Done</v>
      </c>
      <c r="O18" s="62" t="str">
        <f t="shared" si="10"/>
        <v/>
      </c>
      <c r="P18" s="62" t="str">
        <f t="shared" si="10"/>
        <v>Done</v>
      </c>
      <c r="Q18" s="19"/>
      <c r="R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66"/>
      <c r="P19" s="66"/>
      <c r="Q19" s="8"/>
      <c r="R19" s="2"/>
    </row>
    <row r="20" ht="32.25" customHeight="1">
      <c r="A20" s="63"/>
      <c r="B20" s="64"/>
      <c r="C20" s="68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70"/>
      <c r="P20" s="70"/>
      <c r="Q20" s="8"/>
      <c r="R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4"/>
      <c r="O21" s="14"/>
      <c r="P21" s="15"/>
      <c r="Q21" s="19"/>
      <c r="R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21"/>
      <c r="P22" s="21"/>
      <c r="Q22" s="17"/>
      <c r="R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P23" si="11">H7</f>
        <v>Toàn</v>
      </c>
      <c r="I23" s="29" t="str">
        <f t="shared" si="11"/>
        <v>Trường + Thủy</v>
      </c>
      <c r="J23" s="29" t="str">
        <f t="shared" si="11"/>
        <v>Thanh Tâm</v>
      </c>
      <c r="K23" s="29" t="str">
        <f t="shared" si="11"/>
        <v>Băng + Tâm</v>
      </c>
      <c r="L23" s="29" t="str">
        <f t="shared" si="11"/>
        <v>Kiên</v>
      </c>
      <c r="M23" s="29" t="str">
        <f t="shared" si="11"/>
        <v>Tú</v>
      </c>
      <c r="N23" s="29" t="str">
        <f t="shared" si="11"/>
        <v>Diệp</v>
      </c>
      <c r="O23" s="29" t="str">
        <f t="shared" si="11"/>
        <v>Quân</v>
      </c>
      <c r="P23" s="29" t="str">
        <f t="shared" si="11"/>
        <v>Tiến</v>
      </c>
      <c r="Q23" s="80" t="s">
        <v>8</v>
      </c>
      <c r="R23" s="16"/>
    </row>
    <row r="24">
      <c r="A24" s="57"/>
      <c r="B24" s="82"/>
      <c r="C24" s="87">
        <v>270000.0</v>
      </c>
      <c r="D24" s="87" t="str">
        <f>H23</f>
        <v>Toàn</v>
      </c>
      <c r="E24" s="88"/>
      <c r="F24" s="84" t="b">
        <f t="shared" ref="F24:F26" si="13">C24=sum(H24:P24)</f>
        <v>1</v>
      </c>
      <c r="G24" s="33" t="s">
        <v>123</v>
      </c>
      <c r="H24" s="33">
        <f t="shared" ref="H24:N24" si="12">$C24/$C$8</f>
        <v>38571.42857</v>
      </c>
      <c r="I24" s="33">
        <f t="shared" si="12"/>
        <v>38571.42857</v>
      </c>
      <c r="J24" s="33">
        <f t="shared" si="12"/>
        <v>38571.42857</v>
      </c>
      <c r="K24" s="33">
        <f t="shared" si="12"/>
        <v>38571.42857</v>
      </c>
      <c r="L24" s="33">
        <f t="shared" si="12"/>
        <v>38571.42857</v>
      </c>
      <c r="M24" s="33">
        <f t="shared" si="12"/>
        <v>38571.42857</v>
      </c>
      <c r="N24" s="33">
        <f t="shared" si="12"/>
        <v>38571.42857</v>
      </c>
      <c r="O24" s="89"/>
      <c r="P24" s="89"/>
      <c r="Q24" s="42">
        <f t="shared" ref="Q24:Q26" si="15">COUNTIF(H24:P24,"&lt;&gt;0")</f>
        <v>7</v>
      </c>
      <c r="R24" s="16"/>
    </row>
    <row r="25">
      <c r="A25" s="81"/>
      <c r="B25" s="82"/>
      <c r="C25" s="87">
        <f>340000/12*4</f>
        <v>113333.3333</v>
      </c>
      <c r="D25" s="87" t="str">
        <f>H23</f>
        <v>Toàn</v>
      </c>
      <c r="E25" s="88" t="s">
        <v>55</v>
      </c>
      <c r="F25" s="84" t="b">
        <f t="shared" si="13"/>
        <v>1</v>
      </c>
      <c r="G25" s="33" t="s">
        <v>126</v>
      </c>
      <c r="H25" s="33">
        <f t="shared" ref="H25:N25" si="14">$C25/$C$8</f>
        <v>16190.47619</v>
      </c>
      <c r="I25" s="33">
        <f t="shared" si="14"/>
        <v>16190.47619</v>
      </c>
      <c r="J25" s="33">
        <f t="shared" si="14"/>
        <v>16190.47619</v>
      </c>
      <c r="K25" s="33">
        <f t="shared" si="14"/>
        <v>16190.47619</v>
      </c>
      <c r="L25" s="33">
        <f t="shared" si="14"/>
        <v>16190.47619</v>
      </c>
      <c r="M25" s="33">
        <f t="shared" si="14"/>
        <v>16190.47619</v>
      </c>
      <c r="N25" s="33">
        <f t="shared" si="14"/>
        <v>16190.47619</v>
      </c>
      <c r="O25" s="89"/>
      <c r="P25" s="89"/>
      <c r="Q25" s="42">
        <f t="shared" si="15"/>
        <v>7</v>
      </c>
      <c r="R25" s="16"/>
    </row>
    <row r="26">
      <c r="A26" s="81"/>
      <c r="B26" s="82"/>
      <c r="C26" s="87">
        <v>18000.0</v>
      </c>
      <c r="D26" s="87" t="str">
        <f>L23</f>
        <v>Kiên</v>
      </c>
      <c r="E26" s="88" t="s">
        <v>127</v>
      </c>
      <c r="F26" s="84" t="b">
        <f t="shared" si="13"/>
        <v>1</v>
      </c>
      <c r="G26" s="33" t="s">
        <v>82</v>
      </c>
      <c r="H26" s="37">
        <f t="shared" ref="H26:I26" si="16">$C26/($C$8-1)</f>
        <v>3000</v>
      </c>
      <c r="I26" s="37">
        <f t="shared" si="16"/>
        <v>3000</v>
      </c>
      <c r="J26" s="89"/>
      <c r="K26" s="37">
        <f t="shared" ref="K26:N26" si="17">$C26/($C$8-1)</f>
        <v>3000</v>
      </c>
      <c r="L26" s="37">
        <f t="shared" si="17"/>
        <v>3000</v>
      </c>
      <c r="M26" s="37">
        <f t="shared" si="17"/>
        <v>3000</v>
      </c>
      <c r="N26" s="37">
        <f t="shared" si="17"/>
        <v>3000</v>
      </c>
      <c r="O26" s="89"/>
      <c r="P26" s="89"/>
      <c r="Q26" s="42">
        <f t="shared" si="15"/>
        <v>6</v>
      </c>
      <c r="R26" s="16"/>
    </row>
    <row r="27" ht="6.0" customHeight="1">
      <c r="A27" s="81"/>
      <c r="B27" s="82"/>
      <c r="C27" s="82"/>
      <c r="D27" s="82"/>
      <c r="E27" s="83"/>
      <c r="F27" s="84"/>
      <c r="G27" s="32"/>
      <c r="H27" s="19"/>
      <c r="I27" s="19"/>
      <c r="J27" s="19"/>
      <c r="K27" s="32"/>
      <c r="L27" s="19"/>
      <c r="M27" s="32"/>
      <c r="N27" s="32"/>
      <c r="O27" s="32"/>
      <c r="P27" s="32"/>
      <c r="Q27" s="19"/>
      <c r="R27" s="16"/>
    </row>
    <row r="28" ht="18.0" customHeight="1">
      <c r="A28" s="81"/>
      <c r="B28" s="82"/>
      <c r="C28" s="82"/>
      <c r="D28" s="82"/>
      <c r="E28" s="83"/>
      <c r="F28" s="84"/>
      <c r="G28" s="73" t="s">
        <v>68</v>
      </c>
      <c r="H28" s="14"/>
      <c r="I28" s="14"/>
      <c r="J28" s="14"/>
      <c r="K28" s="14"/>
      <c r="L28" s="14"/>
      <c r="M28" s="14"/>
      <c r="N28" s="14"/>
      <c r="O28" s="14"/>
      <c r="P28" s="15"/>
      <c r="Q28" s="19"/>
      <c r="R28" s="16"/>
    </row>
    <row r="29" ht="3.75" customHeight="1">
      <c r="A29" s="81"/>
      <c r="B29" s="82"/>
      <c r="C29" s="82"/>
      <c r="D29" s="82"/>
      <c r="E29" s="83"/>
      <c r="F29" s="84"/>
      <c r="G29" s="32"/>
      <c r="H29" s="19"/>
      <c r="I29" s="19"/>
      <c r="J29" s="19"/>
      <c r="K29" s="32"/>
      <c r="L29" s="19"/>
      <c r="M29" s="32"/>
      <c r="N29" s="32"/>
      <c r="O29" s="32"/>
      <c r="P29" s="32"/>
      <c r="Q29" s="19"/>
      <c r="R29" s="16"/>
    </row>
    <row r="30">
      <c r="A30" s="81"/>
      <c r="B30" s="82"/>
      <c r="C30" s="82"/>
      <c r="D30" s="82"/>
      <c r="E30" s="83"/>
      <c r="F30" s="84" t="b">
        <f t="shared" ref="F30:F32" si="18">If(C30 - round(sum(H30:P30),0) &lt; 5000, True, False)</f>
        <v>1</v>
      </c>
      <c r="G30" s="33" t="s">
        <v>129</v>
      </c>
      <c r="H30" s="33">
        <f t="array" ref="H30">-_xlfn.XLOOKUP(H$23,'1107'!$7:$7,'1107'!$17:$17)</f>
        <v>310884.3333</v>
      </c>
      <c r="I30" s="33">
        <f t="array" ref="I30">-_xlfn.XLOOKUP(I$23,'1107'!$7:$7,'1107'!$17:$17)</f>
        <v>-312353.6667</v>
      </c>
      <c r="J30" s="89"/>
      <c r="K30" s="89"/>
      <c r="L30" s="33">
        <f t="array" ref="L30">-_xlfn.XLOOKUP(L$23,'1107'!$7:$7,'1107'!$17:$17)</f>
        <v>27740.33333</v>
      </c>
      <c r="M30" s="89"/>
      <c r="N30" s="89"/>
      <c r="O30" s="33">
        <f t="array" ref="O30">-_xlfn.XLOOKUP(O$23,'1107'!$7:$7,'1107'!$17:$17)</f>
        <v>-60000</v>
      </c>
      <c r="P30" s="33">
        <f t="array" ref="P30">-_xlfn.XLOOKUP(P$23,'1107'!$7:$7,'1107'!$17:$17)</f>
        <v>34932</v>
      </c>
      <c r="Q30" s="42">
        <f t="shared" ref="Q30:Q32" si="19">COUNTIF(H30:P30,"&lt;&gt;0")</f>
        <v>5</v>
      </c>
      <c r="R30" s="16"/>
    </row>
    <row r="31" ht="15.0" customHeight="1">
      <c r="A31" s="2"/>
      <c r="B31" s="8"/>
      <c r="C31" s="90"/>
      <c r="D31" s="8"/>
      <c r="E31" s="91"/>
      <c r="F31" s="84" t="b">
        <f t="shared" si="18"/>
        <v>1</v>
      </c>
      <c r="G31" s="33" t="s">
        <v>132</v>
      </c>
      <c r="H31" s="33">
        <v>-75000.0</v>
      </c>
      <c r="I31" s="89"/>
      <c r="J31" s="33">
        <f>-H31</f>
        <v>75000</v>
      </c>
      <c r="K31" s="89"/>
      <c r="L31" s="89"/>
      <c r="M31" s="89"/>
      <c r="N31" s="89"/>
      <c r="O31" s="89"/>
      <c r="P31" s="89"/>
      <c r="Q31" s="42">
        <f t="shared" si="19"/>
        <v>2</v>
      </c>
      <c r="R31" s="2"/>
    </row>
    <row r="32" ht="15.0" customHeight="1">
      <c r="A32" s="2"/>
      <c r="B32" s="8"/>
      <c r="C32" s="90"/>
      <c r="D32" s="8"/>
      <c r="E32" s="91"/>
      <c r="F32" s="84" t="b">
        <f t="shared" si="18"/>
        <v>1</v>
      </c>
      <c r="G32" s="33" t="s">
        <v>133</v>
      </c>
      <c r="H32" s="33">
        <v>-190000.0</v>
      </c>
      <c r="I32" s="89"/>
      <c r="J32" s="89"/>
      <c r="K32" s="89"/>
      <c r="L32" s="33">
        <f>-H32</f>
        <v>190000</v>
      </c>
      <c r="M32" s="89"/>
      <c r="N32" s="89"/>
      <c r="O32" s="89"/>
      <c r="P32" s="89"/>
      <c r="Q32" s="42">
        <f t="shared" si="19"/>
        <v>2</v>
      </c>
      <c r="R32" s="2"/>
    </row>
    <row r="33" ht="15.0" customHeight="1">
      <c r="A33" s="2"/>
      <c r="B33" s="8"/>
      <c r="C33" s="90"/>
      <c r="D33" s="8"/>
      <c r="E33" s="91"/>
      <c r="F33" s="9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2"/>
    </row>
    <row r="34" ht="15.0" customHeight="1">
      <c r="A34" s="2"/>
      <c r="B34" s="8"/>
      <c r="C34" s="93" t="s">
        <v>81</v>
      </c>
      <c r="D34" s="8"/>
      <c r="E34" s="9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2"/>
    </row>
    <row r="35" ht="12.75" customHeight="1">
      <c r="A35" s="16"/>
      <c r="B35" s="19"/>
      <c r="C35" s="94"/>
      <c r="D35" s="95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105"/>
      <c r="Q35" s="19"/>
      <c r="R35" s="16"/>
    </row>
    <row r="36" ht="12.75" customHeight="1">
      <c r="A36" s="16"/>
      <c r="B36" s="19"/>
      <c r="C36" s="94"/>
      <c r="D36" s="98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106"/>
      <c r="Q36" s="19"/>
      <c r="R36" s="16"/>
    </row>
    <row r="37" ht="12.75" customHeight="1">
      <c r="A37" s="16"/>
      <c r="B37" s="19"/>
      <c r="C37" s="101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7"/>
      <c r="Q37" s="19"/>
      <c r="R37" s="16"/>
    </row>
    <row r="38" ht="19.5" customHeight="1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mergeCells count="10">
    <mergeCell ref="C21:E21"/>
    <mergeCell ref="G21:P21"/>
    <mergeCell ref="G28:P28"/>
    <mergeCell ref="C3:D3"/>
    <mergeCell ref="G5:P5"/>
    <mergeCell ref="D7:E7"/>
    <mergeCell ref="D8:E8"/>
    <mergeCell ref="D9:E9"/>
    <mergeCell ref="D10:E10"/>
    <mergeCell ref="D12:E12"/>
  </mergeCells>
  <conditionalFormatting sqref="A12:B13 F12:R13">
    <cfRule type="containsText" dxfId="0" priority="1" operator="containsText" text="Chuyển tiền">
      <formula>NOT(ISERROR(SEARCH(("Chuyển tiền"),(A12))))</formula>
    </cfRule>
  </conditionalFormatting>
  <conditionalFormatting sqref="A12:B13 F12:R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2" max="17" width="11.75"/>
    <col customWidth="1" min="18" max="18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5"/>
      <c r="Q2" s="5"/>
      <c r="R2" s="2"/>
    </row>
    <row r="3" ht="16.5" customHeight="1">
      <c r="A3" s="2"/>
      <c r="B3" s="4"/>
      <c r="C3" s="6" t="s">
        <v>115</v>
      </c>
      <c r="D3" s="7"/>
      <c r="E3" s="8"/>
      <c r="F3" s="8"/>
      <c r="G3" s="9" t="s">
        <v>3</v>
      </c>
      <c r="H3" s="10">
        <v>1.0</v>
      </c>
      <c r="I3" s="10">
        <f t="shared" ref="I3:M3" si="1">H3+1</f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v>7.0</v>
      </c>
      <c r="O3" s="10">
        <v>8.0</v>
      </c>
      <c r="P3" s="10">
        <f>O3+1</f>
        <v>9</v>
      </c>
      <c r="Q3" s="5"/>
      <c r="R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8"/>
      <c r="R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5"/>
      <c r="Q5" s="8"/>
      <c r="R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19"/>
      <c r="R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12</v>
      </c>
      <c r="J7" s="29" t="s">
        <v>34</v>
      </c>
      <c r="K7" s="29" t="s">
        <v>13</v>
      </c>
      <c r="L7" s="29" t="s">
        <v>15</v>
      </c>
      <c r="M7" s="29" t="s">
        <v>14</v>
      </c>
      <c r="N7" s="29" t="s">
        <v>117</v>
      </c>
      <c r="O7" s="29" t="s">
        <v>21</v>
      </c>
      <c r="P7" s="29" t="s">
        <v>107</v>
      </c>
      <c r="Q7" s="19"/>
      <c r="R7" s="16"/>
    </row>
    <row r="8">
      <c r="A8" s="16"/>
      <c r="B8" s="19"/>
      <c r="C8" s="30">
        <v>9.0</v>
      </c>
      <c r="D8" s="31" t="s">
        <v>118</v>
      </c>
      <c r="E8" s="15"/>
      <c r="F8" s="32"/>
      <c r="G8" s="33" t="str">
        <f>C21</f>
        <v>Tổng ứng trước</v>
      </c>
      <c r="H8" s="34">
        <f t="shared" ref="H8:P8" si="2">round(sumif($D:$D,H7,$C:$C),0)</f>
        <v>714667</v>
      </c>
      <c r="I8" s="34">
        <f t="shared" si="2"/>
        <v>0</v>
      </c>
      <c r="J8" s="34">
        <f t="shared" si="2"/>
        <v>0</v>
      </c>
      <c r="K8" s="34">
        <f t="shared" si="2"/>
        <v>0</v>
      </c>
      <c r="L8" s="34">
        <f t="shared" si="2"/>
        <v>27000</v>
      </c>
      <c r="M8" s="34">
        <f t="shared" si="2"/>
        <v>0</v>
      </c>
      <c r="N8" s="34">
        <f t="shared" si="2"/>
        <v>0</v>
      </c>
      <c r="O8" s="34">
        <f t="shared" si="2"/>
        <v>0</v>
      </c>
      <c r="P8" s="34">
        <f t="shared" si="2"/>
        <v>0</v>
      </c>
      <c r="Q8" s="19"/>
      <c r="R8" s="16"/>
    </row>
    <row r="9">
      <c r="A9" s="16"/>
      <c r="B9" s="19"/>
      <c r="C9" s="35"/>
      <c r="D9" s="35"/>
      <c r="F9" s="32"/>
      <c r="G9" s="33" t="str">
        <f>"[-] "&amp;G21</f>
        <v>[-] Tổng chi phí</v>
      </c>
      <c r="H9" s="34">
        <f t="shared" ref="H9:P9" si="3">round(sum(H24:H29),0)</f>
        <v>95503</v>
      </c>
      <c r="I9" s="34">
        <f t="shared" si="3"/>
        <v>85503</v>
      </c>
      <c r="J9" s="34">
        <f t="shared" si="3"/>
        <v>54074</v>
      </c>
      <c r="K9" s="34">
        <f t="shared" si="3"/>
        <v>164577</v>
      </c>
      <c r="L9" s="34">
        <f t="shared" si="3"/>
        <v>85503</v>
      </c>
      <c r="M9" s="34">
        <f t="shared" si="3"/>
        <v>85503</v>
      </c>
      <c r="N9" s="34">
        <f t="shared" si="3"/>
        <v>85503</v>
      </c>
      <c r="O9" s="34">
        <f t="shared" si="3"/>
        <v>0</v>
      </c>
      <c r="P9" s="34">
        <f t="shared" si="3"/>
        <v>85503</v>
      </c>
      <c r="Q9" s="19"/>
      <c r="R9" s="16"/>
    </row>
    <row r="10">
      <c r="A10" s="16"/>
      <c r="B10" s="19"/>
      <c r="C10" s="35"/>
      <c r="D10" s="35"/>
      <c r="F10" s="36"/>
      <c r="G10" s="37" t="str">
        <f>"[-] "&amp;G31</f>
        <v>[-] Bù trừ nợ đợt trước</v>
      </c>
      <c r="H10" s="38">
        <f t="shared" ref="H10:P10" si="4">Sum(H33:H45)</f>
        <v>541023.3333</v>
      </c>
      <c r="I10" s="38">
        <f t="shared" si="4"/>
        <v>-397856.6667</v>
      </c>
      <c r="J10" s="38">
        <f t="shared" si="4"/>
        <v>0</v>
      </c>
      <c r="K10" s="38">
        <f t="shared" si="4"/>
        <v>464</v>
      </c>
      <c r="L10" s="38">
        <f t="shared" si="4"/>
        <v>-30762.66667</v>
      </c>
      <c r="M10" s="38">
        <f t="shared" si="4"/>
        <v>-1096</v>
      </c>
      <c r="N10" s="38">
        <f t="shared" si="4"/>
        <v>0</v>
      </c>
      <c r="O10" s="38">
        <f t="shared" si="4"/>
        <v>-60000</v>
      </c>
      <c r="P10" s="38">
        <f t="shared" si="4"/>
        <v>-50571</v>
      </c>
      <c r="Q10" s="19"/>
      <c r="R10" s="16"/>
    </row>
    <row r="11">
      <c r="A11" s="16"/>
      <c r="B11" s="19"/>
      <c r="F11" s="36"/>
      <c r="G11" s="39" t="s">
        <v>36</v>
      </c>
      <c r="H11" s="40">
        <f t="shared" ref="H11:P11" si="5">H8-H9-H10</f>
        <v>78140.66667</v>
      </c>
      <c r="I11" s="40">
        <f t="shared" si="5"/>
        <v>312353.6667</v>
      </c>
      <c r="J11" s="40">
        <f t="shared" si="5"/>
        <v>-54074</v>
      </c>
      <c r="K11" s="40">
        <f t="shared" si="5"/>
        <v>-165041</v>
      </c>
      <c r="L11" s="40">
        <f t="shared" si="5"/>
        <v>-27740.33333</v>
      </c>
      <c r="M11" s="40">
        <f t="shared" si="5"/>
        <v>-84407</v>
      </c>
      <c r="N11" s="40">
        <f t="shared" si="5"/>
        <v>-85503</v>
      </c>
      <c r="O11" s="40">
        <f t="shared" si="5"/>
        <v>60000</v>
      </c>
      <c r="P11" s="40">
        <f t="shared" si="5"/>
        <v>-34932</v>
      </c>
      <c r="Q11" s="19"/>
      <c r="R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5"/>
      <c r="P12" s="45"/>
      <c r="Q12" s="42"/>
      <c r="R12" s="41"/>
    </row>
    <row r="13">
      <c r="A13" s="41"/>
      <c r="B13" s="42"/>
      <c r="F13" s="42"/>
      <c r="G13" s="46" t="s">
        <v>38</v>
      </c>
      <c r="H13" s="47" t="str">
        <f t="shared" ref="H13:P13" si="6">if(H11&lt;0,"Chuyển tiền","Nhận tiền")</f>
        <v>Nhận tiền</v>
      </c>
      <c r="I13" s="47" t="str">
        <f t="shared" si="6"/>
        <v>Nhận tiền</v>
      </c>
      <c r="J13" s="47" t="str">
        <f t="shared" si="6"/>
        <v>Chuyển tiền</v>
      </c>
      <c r="K13" s="47" t="str">
        <f t="shared" si="6"/>
        <v>Chuyển tiền</v>
      </c>
      <c r="L13" s="47" t="str">
        <f t="shared" si="6"/>
        <v>Chuyển tiền</v>
      </c>
      <c r="M13" s="47" t="str">
        <f t="shared" si="6"/>
        <v>Chuyển tiền</v>
      </c>
      <c r="N13" s="47" t="str">
        <f t="shared" si="6"/>
        <v>Chuyển tiền</v>
      </c>
      <c r="O13" s="47" t="str">
        <f t="shared" si="6"/>
        <v>Nhận tiền</v>
      </c>
      <c r="P13" s="47" t="str">
        <f t="shared" si="6"/>
        <v>Chuyển tiền</v>
      </c>
      <c r="Q13" s="42"/>
      <c r="R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49"/>
      <c r="R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-sum(I15:P15)</f>
        <v>-389025</v>
      </c>
      <c r="I15" s="55"/>
      <c r="J15" s="55">
        <v>54074.0</v>
      </c>
      <c r="K15" s="55">
        <v>165041.0</v>
      </c>
      <c r="L15" s="55"/>
      <c r="M15" s="55">
        <f>84407</f>
        <v>84407</v>
      </c>
      <c r="N15" s="55">
        <v>85503.0</v>
      </c>
      <c r="O15" s="55"/>
      <c r="P15" s="55"/>
      <c r="Q15" s="49"/>
      <c r="R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6"/>
    </row>
    <row r="17">
      <c r="A17" s="16"/>
      <c r="B17" s="19"/>
      <c r="C17" s="50"/>
      <c r="D17" s="50"/>
      <c r="E17" s="19"/>
      <c r="F17" s="19"/>
      <c r="G17" s="51" t="s">
        <v>41</v>
      </c>
      <c r="H17" s="56">
        <f t="shared" ref="H17:P17" si="7">H11+H15</f>
        <v>-310884.3333</v>
      </c>
      <c r="I17" s="56">
        <f t="shared" si="7"/>
        <v>312353.6667</v>
      </c>
      <c r="J17" s="56">
        <f t="shared" si="7"/>
        <v>0</v>
      </c>
      <c r="K17" s="56">
        <f t="shared" si="7"/>
        <v>0</v>
      </c>
      <c r="L17" s="56">
        <f t="shared" si="7"/>
        <v>-27740.33333</v>
      </c>
      <c r="M17" s="56">
        <f t="shared" si="7"/>
        <v>0</v>
      </c>
      <c r="N17" s="56">
        <f t="shared" si="7"/>
        <v>0</v>
      </c>
      <c r="O17" s="56">
        <f t="shared" si="7"/>
        <v>60000</v>
      </c>
      <c r="P17" s="56">
        <f t="shared" si="7"/>
        <v>-34932</v>
      </c>
      <c r="Q17" s="19"/>
      <c r="R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 t="shared" ref="H18:L18" si="8">IF(AND(H17&gt;=-3000,H17&lt;=1000), "Done", "")</f>
        <v/>
      </c>
      <c r="I18" s="62" t="str">
        <f t="shared" si="8"/>
        <v/>
      </c>
      <c r="J18" s="62" t="str">
        <f t="shared" si="8"/>
        <v>Done</v>
      </c>
      <c r="K18" s="62" t="str">
        <f t="shared" si="8"/>
        <v>Done</v>
      </c>
      <c r="L18" s="62" t="str">
        <f t="shared" si="8"/>
        <v/>
      </c>
      <c r="M18" s="62" t="str">
        <f t="shared" ref="M18:P18" si="9">IF(AND(M17&gt;=-3000,M17&lt;=2000), "Done", "")</f>
        <v>Done</v>
      </c>
      <c r="N18" s="62" t="str">
        <f t="shared" si="9"/>
        <v>Done</v>
      </c>
      <c r="O18" s="62" t="str">
        <f t="shared" si="9"/>
        <v/>
      </c>
      <c r="P18" s="62" t="str">
        <f t="shared" si="9"/>
        <v/>
      </c>
      <c r="Q18" s="19"/>
      <c r="R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66"/>
      <c r="P19" s="66"/>
      <c r="Q19" s="8"/>
      <c r="R19" s="2"/>
    </row>
    <row r="20" ht="32.25" customHeight="1">
      <c r="A20" s="63"/>
      <c r="B20" s="64"/>
      <c r="C20" s="68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70"/>
      <c r="P20" s="70"/>
      <c r="Q20" s="8"/>
      <c r="R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4"/>
      <c r="O21" s="14"/>
      <c r="P21" s="15"/>
      <c r="Q21" s="19"/>
      <c r="R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21"/>
      <c r="P22" s="21"/>
      <c r="Q22" s="17"/>
      <c r="R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P23" si="10">H7</f>
        <v>Toàn</v>
      </c>
      <c r="I23" s="29" t="str">
        <f t="shared" si="10"/>
        <v>Trường + Thủy</v>
      </c>
      <c r="J23" s="29" t="str">
        <f t="shared" si="10"/>
        <v>Thanh Tâm</v>
      </c>
      <c r="K23" s="29" t="str">
        <f t="shared" si="10"/>
        <v>Băng + Tâm</v>
      </c>
      <c r="L23" s="29" t="str">
        <f t="shared" si="10"/>
        <v>Kiên</v>
      </c>
      <c r="M23" s="29" t="str">
        <f t="shared" si="10"/>
        <v>Tú</v>
      </c>
      <c r="N23" s="29" t="str">
        <f t="shared" si="10"/>
        <v>Khiêm</v>
      </c>
      <c r="O23" s="29" t="str">
        <f t="shared" si="10"/>
        <v>Quân</v>
      </c>
      <c r="P23" s="29" t="str">
        <f t="shared" si="10"/>
        <v>Tiến</v>
      </c>
      <c r="Q23" s="80" t="s">
        <v>8</v>
      </c>
      <c r="R23" s="16"/>
    </row>
    <row r="24">
      <c r="A24" s="57"/>
      <c r="B24" s="82"/>
      <c r="C24" s="87">
        <f>270000+75000</f>
        <v>345000</v>
      </c>
      <c r="D24" s="87" t="str">
        <f>H23</f>
        <v>Toàn</v>
      </c>
      <c r="E24" s="88"/>
      <c r="F24" s="84" t="b">
        <f t="shared" ref="F24:F26" si="13">C24=sum(H24:P24)</f>
        <v>1</v>
      </c>
      <c r="G24" s="33" t="s">
        <v>135</v>
      </c>
      <c r="H24" s="33">
        <f t="shared" ref="H24:J24" si="11">$C24/$C$8</f>
        <v>38333.33333</v>
      </c>
      <c r="I24" s="33">
        <f t="shared" si="11"/>
        <v>38333.33333</v>
      </c>
      <c r="J24" s="33">
        <f t="shared" si="11"/>
        <v>38333.33333</v>
      </c>
      <c r="K24" s="33">
        <f t="shared" ref="K24:K25" si="15">$C24/$C$8*2</f>
        <v>76666.66667</v>
      </c>
      <c r="L24" s="33">
        <f t="shared" ref="L24:N24" si="12">$C24/$C$8</f>
        <v>38333.33333</v>
      </c>
      <c r="M24" s="33">
        <f t="shared" si="12"/>
        <v>38333.33333</v>
      </c>
      <c r="N24" s="33">
        <f t="shared" si="12"/>
        <v>38333.33333</v>
      </c>
      <c r="O24" s="89"/>
      <c r="P24" s="33">
        <f t="shared" ref="P24:P25" si="17">$C24/$C$8</f>
        <v>38333.33333</v>
      </c>
      <c r="Q24" s="42">
        <f t="shared" ref="Q24:Q25" si="18">COUNTIF(H24:P24,"&lt;&gt;0")+1</f>
        <v>9</v>
      </c>
      <c r="R24" s="16"/>
    </row>
    <row r="25">
      <c r="A25" s="81"/>
      <c r="B25" s="82"/>
      <c r="C25" s="87">
        <f>340000/12*5</f>
        <v>141666.6667</v>
      </c>
      <c r="D25" s="87" t="str">
        <f>H23</f>
        <v>Toàn</v>
      </c>
      <c r="E25" s="88" t="s">
        <v>55</v>
      </c>
      <c r="F25" s="84" t="b">
        <f t="shared" si="13"/>
        <v>1</v>
      </c>
      <c r="G25" s="33" t="s">
        <v>139</v>
      </c>
      <c r="H25" s="33">
        <f t="shared" ref="H25:J25" si="14">$C25/$C$8</f>
        <v>15740.74074</v>
      </c>
      <c r="I25" s="33">
        <f t="shared" si="14"/>
        <v>15740.74074</v>
      </c>
      <c r="J25" s="33">
        <f t="shared" si="14"/>
        <v>15740.74074</v>
      </c>
      <c r="K25" s="33">
        <f t="shared" si="15"/>
        <v>31481.48148</v>
      </c>
      <c r="L25" s="33">
        <f t="shared" ref="L25:N25" si="16">$C25/$C$8</f>
        <v>15740.74074</v>
      </c>
      <c r="M25" s="33">
        <f t="shared" si="16"/>
        <v>15740.74074</v>
      </c>
      <c r="N25" s="33">
        <f t="shared" si="16"/>
        <v>15740.74074</v>
      </c>
      <c r="O25" s="89"/>
      <c r="P25" s="33">
        <f t="shared" si="17"/>
        <v>15740.74074</v>
      </c>
      <c r="Q25" s="42">
        <f t="shared" si="18"/>
        <v>9</v>
      </c>
      <c r="R25" s="16"/>
    </row>
    <row r="26">
      <c r="A26" s="81"/>
      <c r="B26" s="82"/>
      <c r="C26" s="87">
        <v>18000.0</v>
      </c>
      <c r="D26" s="87" t="str">
        <f>H23</f>
        <v>Toàn</v>
      </c>
      <c r="E26" s="88" t="s">
        <v>127</v>
      </c>
      <c r="F26" s="84" t="b">
        <f t="shared" si="13"/>
        <v>1</v>
      </c>
      <c r="G26" s="33" t="s">
        <v>82</v>
      </c>
      <c r="H26" s="37">
        <f t="shared" ref="H26:I26" si="19">$C26/($C$8-2)</f>
        <v>2571.428571</v>
      </c>
      <c r="I26" s="37">
        <f t="shared" si="19"/>
        <v>2571.428571</v>
      </c>
      <c r="J26" s="89"/>
      <c r="K26" s="37">
        <f t="shared" ref="K26:N26" si="20">$C26/($C$8-2)</f>
        <v>2571.428571</v>
      </c>
      <c r="L26" s="37">
        <f t="shared" si="20"/>
        <v>2571.428571</v>
      </c>
      <c r="M26" s="37">
        <f t="shared" si="20"/>
        <v>2571.428571</v>
      </c>
      <c r="N26" s="37">
        <f t="shared" si="20"/>
        <v>2571.428571</v>
      </c>
      <c r="O26" s="89"/>
      <c r="P26" s="37">
        <f t="shared" ref="P26:P27" si="23">$C26/($C$8-2)</f>
        <v>2571.428571</v>
      </c>
      <c r="Q26" s="42">
        <f t="shared" ref="Q26:Q27" si="24">COUNTIF(H26:P26,"&lt;&gt;0")</f>
        <v>7</v>
      </c>
      <c r="R26" s="16"/>
    </row>
    <row r="27">
      <c r="A27" s="81"/>
      <c r="B27" s="82"/>
      <c r="C27" s="87">
        <v>27000.0</v>
      </c>
      <c r="D27" s="87" t="str">
        <f>L23</f>
        <v>Kiên</v>
      </c>
      <c r="E27" s="88" t="s">
        <v>127</v>
      </c>
      <c r="F27" s="84"/>
      <c r="G27" s="33" t="s">
        <v>92</v>
      </c>
      <c r="H27" s="37">
        <f t="shared" ref="H27:I27" si="21">$C27/($C$8-2)</f>
        <v>3857.142857</v>
      </c>
      <c r="I27" s="37">
        <f t="shared" si="21"/>
        <v>3857.142857</v>
      </c>
      <c r="J27" s="89"/>
      <c r="K27" s="37">
        <f t="shared" ref="K27:N27" si="22">$C27/($C$8-2)</f>
        <v>3857.142857</v>
      </c>
      <c r="L27" s="37">
        <f t="shared" si="22"/>
        <v>3857.142857</v>
      </c>
      <c r="M27" s="37">
        <f t="shared" si="22"/>
        <v>3857.142857</v>
      </c>
      <c r="N27" s="37">
        <f t="shared" si="22"/>
        <v>3857.142857</v>
      </c>
      <c r="O27" s="89"/>
      <c r="P27" s="37">
        <f t="shared" si="23"/>
        <v>3857.142857</v>
      </c>
      <c r="Q27" s="42">
        <f t="shared" si="24"/>
        <v>7</v>
      </c>
      <c r="R27" s="16"/>
    </row>
    <row r="28">
      <c r="A28" s="81"/>
      <c r="B28" s="82"/>
      <c r="C28" s="82"/>
      <c r="D28" s="82"/>
      <c r="E28" s="83"/>
      <c r="F28" s="84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42"/>
      <c r="R28" s="16"/>
    </row>
    <row r="29">
      <c r="A29" s="81"/>
      <c r="B29" s="82"/>
      <c r="C29" s="87">
        <v>210000.0</v>
      </c>
      <c r="D29" s="87" t="str">
        <f>H23</f>
        <v>Toàn</v>
      </c>
      <c r="E29" s="88"/>
      <c r="F29" s="84" t="b">
        <f>C29=sum(H29:P29)</f>
        <v>1</v>
      </c>
      <c r="G29" s="33" t="s">
        <v>148</v>
      </c>
      <c r="H29" s="37">
        <f>210000-I29-K29-L29-M29-N29-P29</f>
        <v>35000</v>
      </c>
      <c r="I29" s="37">
        <v>25000.0</v>
      </c>
      <c r="J29" s="89"/>
      <c r="K29" s="37">
        <v>50000.0</v>
      </c>
      <c r="L29" s="37">
        <v>25000.0</v>
      </c>
      <c r="M29" s="37">
        <v>25000.0</v>
      </c>
      <c r="N29" s="37">
        <v>25000.0</v>
      </c>
      <c r="O29" s="89"/>
      <c r="P29" s="37">
        <v>25000.0</v>
      </c>
      <c r="Q29" s="42">
        <f>COUNTIF(H29:P29,"&lt;&gt;0")</f>
        <v>7</v>
      </c>
      <c r="R29" s="16"/>
    </row>
    <row r="30" ht="6.0" customHeight="1">
      <c r="A30" s="81"/>
      <c r="B30" s="82"/>
      <c r="C30" s="82"/>
      <c r="D30" s="82"/>
      <c r="E30" s="83"/>
      <c r="F30" s="84"/>
      <c r="G30" s="32"/>
      <c r="H30" s="19"/>
      <c r="I30" s="19"/>
      <c r="J30" s="19"/>
      <c r="K30" s="32"/>
      <c r="L30" s="19"/>
      <c r="M30" s="32"/>
      <c r="N30" s="32"/>
      <c r="O30" s="32"/>
      <c r="P30" s="32"/>
      <c r="Q30" s="19"/>
      <c r="R30" s="16"/>
    </row>
    <row r="31" ht="18.0" customHeight="1">
      <c r="A31" s="81"/>
      <c r="B31" s="82"/>
      <c r="C31" s="82"/>
      <c r="D31" s="82"/>
      <c r="E31" s="83"/>
      <c r="F31" s="84"/>
      <c r="G31" s="73" t="s">
        <v>68</v>
      </c>
      <c r="H31" s="14"/>
      <c r="I31" s="14"/>
      <c r="J31" s="14"/>
      <c r="K31" s="14"/>
      <c r="L31" s="14"/>
      <c r="M31" s="14"/>
      <c r="N31" s="14"/>
      <c r="O31" s="14"/>
      <c r="P31" s="15"/>
      <c r="Q31" s="19"/>
      <c r="R31" s="16"/>
    </row>
    <row r="32" ht="3.75" customHeight="1">
      <c r="A32" s="81"/>
      <c r="B32" s="82"/>
      <c r="C32" s="82"/>
      <c r="D32" s="82"/>
      <c r="E32" s="83"/>
      <c r="F32" s="84"/>
      <c r="G32" s="32"/>
      <c r="H32" s="19"/>
      <c r="I32" s="19"/>
      <c r="J32" s="19"/>
      <c r="K32" s="32"/>
      <c r="L32" s="19"/>
      <c r="M32" s="32"/>
      <c r="N32" s="32"/>
      <c r="O32" s="32"/>
      <c r="P32" s="32"/>
      <c r="Q32" s="19"/>
      <c r="R32" s="16"/>
    </row>
    <row r="33">
      <c r="A33" s="81"/>
      <c r="B33" s="82"/>
      <c r="C33" s="82"/>
      <c r="D33" s="82"/>
      <c r="E33" s="83"/>
      <c r="F33" s="84" t="b">
        <f t="shared" ref="F33:F38" si="25">If(C33 - round(sum(H33:P33),0) &lt; 5000, True, False)</f>
        <v>1</v>
      </c>
      <c r="G33" s="33" t="s">
        <v>152</v>
      </c>
      <c r="H33" s="33">
        <f>-'0407'!H17</f>
        <v>316190</v>
      </c>
      <c r="I33" s="33">
        <f>-'0407'!I17</f>
        <v>-74940</v>
      </c>
      <c r="J33" s="89"/>
      <c r="K33" s="33">
        <f>-'0407'!K17</f>
        <v>464</v>
      </c>
      <c r="L33" s="33">
        <f>-'0407'!L17</f>
        <v>-128846</v>
      </c>
      <c r="M33" s="33">
        <f>-'0407'!M17</f>
        <v>-1096</v>
      </c>
      <c r="N33" s="89"/>
      <c r="O33" s="37">
        <f>-'0407'!O17</f>
        <v>-60000</v>
      </c>
      <c r="P33" s="33">
        <f>-'2606'!N17</f>
        <v>-50571</v>
      </c>
      <c r="Q33" s="42">
        <f t="shared" ref="Q33:Q35" si="26">COUNTIF(H33:P33,"&lt;&gt;0")</f>
        <v>7</v>
      </c>
      <c r="R33" s="16"/>
    </row>
    <row r="34" ht="15.0" customHeight="1">
      <c r="A34" s="2"/>
      <c r="B34" s="8"/>
      <c r="C34" s="90"/>
      <c r="D34" s="8"/>
      <c r="E34" s="91"/>
      <c r="F34" s="84" t="b">
        <f t="shared" si="25"/>
        <v>1</v>
      </c>
      <c r="G34" s="33" t="s">
        <v>153</v>
      </c>
      <c r="H34" s="33">
        <v>-45000.0</v>
      </c>
      <c r="I34" s="89"/>
      <c r="J34" s="89"/>
      <c r="K34" s="89"/>
      <c r="L34" s="33">
        <f>-H34</f>
        <v>45000</v>
      </c>
      <c r="M34" s="89"/>
      <c r="N34" s="89"/>
      <c r="O34" s="89"/>
      <c r="P34" s="89"/>
      <c r="Q34" s="42">
        <f t="shared" si="26"/>
        <v>2</v>
      </c>
      <c r="R34" s="2"/>
    </row>
    <row r="35" ht="15.0" customHeight="1">
      <c r="A35" s="2"/>
      <c r="B35" s="8"/>
      <c r="C35" s="90"/>
      <c r="D35" s="8"/>
      <c r="E35" s="91"/>
      <c r="F35" s="84" t="b">
        <f t="shared" si="25"/>
        <v>1</v>
      </c>
      <c r="G35" s="33" t="s">
        <v>154</v>
      </c>
      <c r="H35" s="33">
        <f>-99250/3*2</f>
        <v>-66166.66667</v>
      </c>
      <c r="I35" s="33">
        <f>-H35/2</f>
        <v>33083.33333</v>
      </c>
      <c r="J35" s="89"/>
      <c r="K35" s="89"/>
      <c r="L35" s="33">
        <f>-H35/2</f>
        <v>33083.33333</v>
      </c>
      <c r="M35" s="89"/>
      <c r="N35" s="89"/>
      <c r="O35" s="89"/>
      <c r="P35" s="89"/>
      <c r="Q35" s="42">
        <f t="shared" si="26"/>
        <v>3</v>
      </c>
      <c r="R35" s="2"/>
    </row>
    <row r="36" ht="15.0" customHeight="1">
      <c r="A36" s="2"/>
      <c r="B36" s="8"/>
      <c r="C36" s="90"/>
      <c r="D36" s="8"/>
      <c r="E36" s="91"/>
      <c r="F36" s="84" t="b">
        <f t="shared" si="25"/>
        <v>1</v>
      </c>
      <c r="G36" s="33" t="s">
        <v>133</v>
      </c>
      <c r="H36" s="33">
        <v>-20000.0</v>
      </c>
      <c r="I36" s="89"/>
      <c r="J36" s="89"/>
      <c r="K36" s="89"/>
      <c r="L36" s="33">
        <v>20000.0</v>
      </c>
      <c r="M36" s="89"/>
      <c r="N36" s="89"/>
      <c r="O36" s="89"/>
      <c r="P36" s="89"/>
      <c r="Q36" s="42"/>
      <c r="R36" s="2"/>
    </row>
    <row r="37" ht="15.0" customHeight="1">
      <c r="A37" s="2"/>
      <c r="B37" s="8"/>
      <c r="C37" s="90"/>
      <c r="D37" s="8"/>
      <c r="E37" s="91"/>
      <c r="F37" s="84" t="b">
        <f t="shared" si="25"/>
        <v>1</v>
      </c>
      <c r="G37" s="33" t="s">
        <v>156</v>
      </c>
      <c r="H37" s="33">
        <v>178000.0</v>
      </c>
      <c r="I37" s="33">
        <v>-178000.0</v>
      </c>
      <c r="J37" s="89"/>
      <c r="K37" s="89"/>
      <c r="L37" s="89"/>
      <c r="M37" s="89"/>
      <c r="N37" s="89"/>
      <c r="O37" s="89"/>
      <c r="P37" s="89"/>
      <c r="Q37" s="42"/>
      <c r="R37" s="2"/>
    </row>
    <row r="38" ht="15.0" customHeight="1">
      <c r="A38" s="2"/>
      <c r="B38" s="8"/>
      <c r="C38" s="90"/>
      <c r="D38" s="8"/>
      <c r="E38" s="91"/>
      <c r="F38" s="84" t="b">
        <f t="shared" si="25"/>
        <v>1</v>
      </c>
      <c r="G38" s="33" t="s">
        <v>158</v>
      </c>
      <c r="H38" s="33">
        <v>178000.0</v>
      </c>
      <c r="I38" s="33">
        <f>-H38</f>
        <v>-178000</v>
      </c>
      <c r="J38" s="89"/>
      <c r="K38" s="89"/>
      <c r="L38" s="89"/>
      <c r="M38" s="89"/>
      <c r="N38" s="89"/>
      <c r="O38" s="89"/>
      <c r="P38" s="89"/>
      <c r="Q38" s="42">
        <f>COUNTIF(H38:P38,"&lt;&gt;0")</f>
        <v>2</v>
      </c>
      <c r="R38" s="2"/>
    </row>
    <row r="39" ht="15.0" customHeight="1">
      <c r="A39" s="2"/>
      <c r="B39" s="8"/>
      <c r="C39" s="90"/>
      <c r="D39" s="8"/>
      <c r="E39" s="91"/>
      <c r="F39" s="92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2"/>
    </row>
    <row r="40" ht="15.0" customHeight="1">
      <c r="A40" s="2"/>
      <c r="B40" s="8"/>
      <c r="C40" s="93" t="s">
        <v>81</v>
      </c>
      <c r="D40" s="8"/>
      <c r="E40" s="91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2"/>
    </row>
    <row r="41" ht="12.75" customHeight="1">
      <c r="A41" s="16"/>
      <c r="B41" s="19"/>
      <c r="C41" s="94"/>
      <c r="D41" s="95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105"/>
      <c r="Q41" s="19"/>
      <c r="R41" s="16"/>
    </row>
    <row r="42" ht="12.75" customHeight="1">
      <c r="A42" s="16"/>
      <c r="B42" s="19"/>
      <c r="C42" s="94"/>
      <c r="D42" s="98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106"/>
      <c r="Q42" s="19"/>
      <c r="R42" s="16"/>
    </row>
    <row r="43" ht="12.75" customHeight="1">
      <c r="A43" s="16"/>
      <c r="B43" s="19"/>
      <c r="C43" s="101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7"/>
      <c r="Q43" s="19"/>
      <c r="R43" s="16"/>
    </row>
    <row r="44" ht="19.5" customHeight="1">
      <c r="A44" s="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mergeCells count="10">
    <mergeCell ref="C21:E21"/>
    <mergeCell ref="G21:P21"/>
    <mergeCell ref="G31:P31"/>
    <mergeCell ref="C3:D3"/>
    <mergeCell ref="G5:P5"/>
    <mergeCell ref="D7:E7"/>
    <mergeCell ref="D8:E8"/>
    <mergeCell ref="D9:E9"/>
    <mergeCell ref="D10:E10"/>
    <mergeCell ref="D12:E12"/>
  </mergeCells>
  <conditionalFormatting sqref="A12:B13 F12:R13">
    <cfRule type="containsText" dxfId="0" priority="1" operator="containsText" text="Chuyển tiền">
      <formula>NOT(ISERROR(SEARCH(("Chuyển tiền"),(A12))))</formula>
    </cfRule>
  </conditionalFormatting>
  <conditionalFormatting sqref="A12:B13 F12:R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8.13"/>
    <col customWidth="1" min="12" max="17" width="11.75"/>
    <col customWidth="1" min="18" max="18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5"/>
      <c r="Q2" s="5"/>
      <c r="R2" s="2"/>
    </row>
    <row r="3" ht="16.5" customHeight="1">
      <c r="A3" s="2"/>
      <c r="B3" s="4"/>
      <c r="C3" s="6" t="s">
        <v>134</v>
      </c>
      <c r="D3" s="7"/>
      <c r="E3" s="8"/>
      <c r="F3" s="8"/>
      <c r="G3" s="9" t="s">
        <v>3</v>
      </c>
      <c r="H3" s="10">
        <v>1.0</v>
      </c>
      <c r="I3" s="10">
        <f t="shared" ref="I3:M3" si="1">H3+1</f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v>7.0</v>
      </c>
      <c r="O3" s="10">
        <v>8.0</v>
      </c>
      <c r="P3" s="10">
        <f>O3+1</f>
        <v>9</v>
      </c>
      <c r="Q3" s="5"/>
      <c r="R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8"/>
      <c r="R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5"/>
      <c r="Q5" s="8"/>
      <c r="R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19"/>
      <c r="R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136</v>
      </c>
      <c r="J7" s="29" t="s">
        <v>34</v>
      </c>
      <c r="K7" s="29" t="s">
        <v>13</v>
      </c>
      <c r="L7" s="29" t="s">
        <v>15</v>
      </c>
      <c r="M7" s="29" t="s">
        <v>14</v>
      </c>
      <c r="N7" s="29" t="s">
        <v>137</v>
      </c>
      <c r="O7" s="29" t="s">
        <v>21</v>
      </c>
      <c r="P7" s="29" t="s">
        <v>107</v>
      </c>
      <c r="Q7" s="19"/>
      <c r="R7" s="16"/>
    </row>
    <row r="8">
      <c r="A8" s="16"/>
      <c r="B8" s="19"/>
      <c r="C8" s="30">
        <v>7.0</v>
      </c>
      <c r="D8" s="31" t="s">
        <v>138</v>
      </c>
      <c r="E8" s="15"/>
      <c r="F8" s="32"/>
      <c r="G8" s="33" t="str">
        <f>C21</f>
        <v>Tổng ứng trước</v>
      </c>
      <c r="H8" s="34">
        <f t="shared" ref="H8:P8" si="2">round(sumif($D:$D,H7,$C:$C),0)</f>
        <v>386333</v>
      </c>
      <c r="I8" s="34">
        <f t="shared" si="2"/>
        <v>0</v>
      </c>
      <c r="J8" s="34">
        <f t="shared" si="2"/>
        <v>0</v>
      </c>
      <c r="K8" s="34">
        <f t="shared" si="2"/>
        <v>0</v>
      </c>
      <c r="L8" s="34">
        <f t="shared" si="2"/>
        <v>160000</v>
      </c>
      <c r="M8" s="34">
        <f t="shared" si="2"/>
        <v>0</v>
      </c>
      <c r="N8" s="34">
        <f t="shared" si="2"/>
        <v>0</v>
      </c>
      <c r="O8" s="34">
        <f t="shared" si="2"/>
        <v>0</v>
      </c>
      <c r="P8" s="34">
        <f t="shared" si="2"/>
        <v>0</v>
      </c>
      <c r="Q8" s="19"/>
      <c r="R8" s="16"/>
    </row>
    <row r="9">
      <c r="A9" s="16"/>
      <c r="B9" s="19"/>
      <c r="C9" s="30">
        <v>4.0</v>
      </c>
      <c r="D9" s="31" t="s">
        <v>140</v>
      </c>
      <c r="E9" s="15"/>
      <c r="F9" s="32"/>
      <c r="G9" s="33" t="str">
        <f>"[-] "&amp;G21</f>
        <v>[-] Tổng chi phí</v>
      </c>
      <c r="H9" s="34">
        <f t="shared" ref="H9:P9" si="3">round(sum(H24:H30),0)</f>
        <v>101190</v>
      </c>
      <c r="I9" s="34">
        <f t="shared" si="3"/>
        <v>48667</v>
      </c>
      <c r="J9" s="34">
        <f t="shared" si="3"/>
        <v>44524</v>
      </c>
      <c r="K9" s="34">
        <f t="shared" si="3"/>
        <v>97048</v>
      </c>
      <c r="L9" s="34">
        <f t="shared" si="3"/>
        <v>101190</v>
      </c>
      <c r="M9" s="34">
        <f t="shared" si="3"/>
        <v>101190</v>
      </c>
      <c r="N9" s="34">
        <f t="shared" si="3"/>
        <v>52524</v>
      </c>
      <c r="O9" s="34">
        <f t="shared" si="3"/>
        <v>0</v>
      </c>
      <c r="P9" s="34">
        <f t="shared" si="3"/>
        <v>0</v>
      </c>
      <c r="Q9" s="19"/>
      <c r="R9" s="16"/>
    </row>
    <row r="10">
      <c r="A10" s="16"/>
      <c r="B10" s="19"/>
      <c r="C10" s="35"/>
      <c r="D10" s="35"/>
      <c r="F10" s="36"/>
      <c r="G10" s="37" t="str">
        <f>"[-] "&amp;G32</f>
        <v>[-] Bù trừ nợ đợt trước</v>
      </c>
      <c r="H10" s="38">
        <f t="shared" ref="H10:P10" si="4">Sum(H34:H48)</f>
        <v>118285</v>
      </c>
      <c r="I10" s="38">
        <f t="shared" si="4"/>
        <v>-123607</v>
      </c>
      <c r="J10" s="38">
        <f t="shared" si="4"/>
        <v>40000</v>
      </c>
      <c r="K10" s="38">
        <f t="shared" si="4"/>
        <v>-584</v>
      </c>
      <c r="L10" s="38">
        <f t="shared" si="4"/>
        <v>-70036</v>
      </c>
      <c r="M10" s="38">
        <f t="shared" si="4"/>
        <v>147714</v>
      </c>
      <c r="N10" s="38">
        <f t="shared" si="4"/>
        <v>0</v>
      </c>
      <c r="O10" s="38">
        <f t="shared" si="4"/>
        <v>-60000</v>
      </c>
      <c r="P10" s="38">
        <f t="shared" si="4"/>
        <v>-50571</v>
      </c>
      <c r="Q10" s="19"/>
      <c r="R10" s="16"/>
    </row>
    <row r="11">
      <c r="A11" s="16"/>
      <c r="B11" s="19"/>
      <c r="F11" s="36"/>
      <c r="G11" s="39" t="s">
        <v>36</v>
      </c>
      <c r="H11" s="40">
        <f t="shared" ref="H11:P11" si="5">H8-H9-H10</f>
        <v>166858</v>
      </c>
      <c r="I11" s="40">
        <f t="shared" si="5"/>
        <v>74940</v>
      </c>
      <c r="J11" s="40">
        <f t="shared" si="5"/>
        <v>-84524</v>
      </c>
      <c r="K11" s="40">
        <f t="shared" si="5"/>
        <v>-96464</v>
      </c>
      <c r="L11" s="40">
        <f t="shared" si="5"/>
        <v>128846</v>
      </c>
      <c r="M11" s="40">
        <f t="shared" si="5"/>
        <v>-248904</v>
      </c>
      <c r="N11" s="40">
        <f t="shared" si="5"/>
        <v>-52524</v>
      </c>
      <c r="O11" s="40">
        <f t="shared" si="5"/>
        <v>60000</v>
      </c>
      <c r="P11" s="40">
        <f t="shared" si="5"/>
        <v>50571</v>
      </c>
      <c r="Q11" s="19"/>
      <c r="R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5"/>
      <c r="P12" s="45"/>
      <c r="Q12" s="42"/>
      <c r="R12" s="41"/>
    </row>
    <row r="13">
      <c r="A13" s="41"/>
      <c r="B13" s="42"/>
      <c r="F13" s="42"/>
      <c r="G13" s="46" t="s">
        <v>38</v>
      </c>
      <c r="H13" s="47" t="str">
        <f t="shared" ref="H13:P13" si="6">if(H11&lt;0,"Chuyển tiền","Nhận tiền")</f>
        <v>Nhận tiền</v>
      </c>
      <c r="I13" s="47" t="str">
        <f t="shared" si="6"/>
        <v>Nhận tiền</v>
      </c>
      <c r="J13" s="47" t="str">
        <f t="shared" si="6"/>
        <v>Chuyển tiền</v>
      </c>
      <c r="K13" s="47" t="str">
        <f t="shared" si="6"/>
        <v>Chuyển tiền</v>
      </c>
      <c r="L13" s="47" t="str">
        <f t="shared" si="6"/>
        <v>Nhận tiền</v>
      </c>
      <c r="M13" s="47" t="str">
        <f t="shared" si="6"/>
        <v>Chuyển tiền</v>
      </c>
      <c r="N13" s="47" t="str">
        <f t="shared" si="6"/>
        <v>Chuyển tiền</v>
      </c>
      <c r="O13" s="47" t="str">
        <f t="shared" si="6"/>
        <v>Nhận tiền</v>
      </c>
      <c r="P13" s="47" t="str">
        <f t="shared" si="6"/>
        <v>Nhận tiền</v>
      </c>
      <c r="Q13" s="42"/>
      <c r="R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49"/>
      <c r="R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-sum(I15:P15)</f>
        <v>-483048</v>
      </c>
      <c r="I15" s="55"/>
      <c r="J15" s="55">
        <v>84524.0</v>
      </c>
      <c r="K15" s="55">
        <v>96000.0</v>
      </c>
      <c r="L15" s="55"/>
      <c r="M15" s="55">
        <v>250000.0</v>
      </c>
      <c r="N15" s="55">
        <v>52524.0</v>
      </c>
      <c r="O15" s="55"/>
      <c r="P15" s="55"/>
      <c r="Q15" s="49"/>
      <c r="R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6"/>
    </row>
    <row r="17">
      <c r="A17" s="16"/>
      <c r="B17" s="19"/>
      <c r="C17" s="50"/>
      <c r="D17" s="50"/>
      <c r="E17" s="19"/>
      <c r="F17" s="19"/>
      <c r="G17" s="51" t="s">
        <v>147</v>
      </c>
      <c r="H17" s="56">
        <f t="shared" ref="H17:P17" si="7">H11+H15</f>
        <v>-316190</v>
      </c>
      <c r="I17" s="56">
        <f t="shared" si="7"/>
        <v>74940</v>
      </c>
      <c r="J17" s="56">
        <f t="shared" si="7"/>
        <v>0</v>
      </c>
      <c r="K17" s="56">
        <f t="shared" si="7"/>
        <v>-464</v>
      </c>
      <c r="L17" s="56">
        <f t="shared" si="7"/>
        <v>128846</v>
      </c>
      <c r="M17" s="56">
        <f t="shared" si="7"/>
        <v>1096</v>
      </c>
      <c r="N17" s="56">
        <f t="shared" si="7"/>
        <v>0</v>
      </c>
      <c r="O17" s="56">
        <f t="shared" si="7"/>
        <v>60000</v>
      </c>
      <c r="P17" s="56">
        <f t="shared" si="7"/>
        <v>50571</v>
      </c>
      <c r="Q17" s="19"/>
      <c r="R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 t="shared" ref="H18:L18" si="8">IF(AND(H17&gt;=-3000,H17&lt;=1000), "Done", "")</f>
        <v/>
      </c>
      <c r="I18" s="62" t="str">
        <f t="shared" si="8"/>
        <v/>
      </c>
      <c r="J18" s="62" t="str">
        <f t="shared" si="8"/>
        <v>Done</v>
      </c>
      <c r="K18" s="62" t="str">
        <f t="shared" si="8"/>
        <v>Done</v>
      </c>
      <c r="L18" s="62" t="str">
        <f t="shared" si="8"/>
        <v/>
      </c>
      <c r="M18" s="62" t="str">
        <f t="shared" ref="M18:P18" si="9">IF(AND(M17&gt;=-3000,M17&lt;=2000), "Done", "")</f>
        <v>Done</v>
      </c>
      <c r="N18" s="62" t="str">
        <f t="shared" si="9"/>
        <v>Done</v>
      </c>
      <c r="O18" s="62" t="str">
        <f t="shared" si="9"/>
        <v/>
      </c>
      <c r="P18" s="62" t="str">
        <f t="shared" si="9"/>
        <v/>
      </c>
      <c r="Q18" s="19"/>
      <c r="R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66"/>
      <c r="P19" s="66"/>
      <c r="Q19" s="8"/>
      <c r="R19" s="2"/>
    </row>
    <row r="20" ht="32.25" customHeight="1">
      <c r="A20" s="63"/>
      <c r="B20" s="64"/>
      <c r="C20" s="68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70"/>
      <c r="P20" s="70"/>
      <c r="Q20" s="8"/>
      <c r="R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4"/>
      <c r="O21" s="14"/>
      <c r="P21" s="15"/>
      <c r="Q21" s="19"/>
      <c r="R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21"/>
      <c r="P22" s="21"/>
      <c r="Q22" s="17"/>
      <c r="R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P23" si="10">H7</f>
        <v>Toàn</v>
      </c>
      <c r="I23" s="29" t="str">
        <f t="shared" si="10"/>
        <v>Trường</v>
      </c>
      <c r="J23" s="29" t="str">
        <f t="shared" si="10"/>
        <v>Thanh Tâm</v>
      </c>
      <c r="K23" s="29" t="str">
        <f t="shared" si="10"/>
        <v>Băng + Tâm</v>
      </c>
      <c r="L23" s="29" t="str">
        <f t="shared" si="10"/>
        <v>Kiên</v>
      </c>
      <c r="M23" s="29" t="str">
        <f t="shared" si="10"/>
        <v>Tú</v>
      </c>
      <c r="N23" s="29" t="str">
        <f t="shared" si="10"/>
        <v>Dũng</v>
      </c>
      <c r="O23" s="29" t="str">
        <f t="shared" si="10"/>
        <v>Quân</v>
      </c>
      <c r="P23" s="29" t="str">
        <f t="shared" si="10"/>
        <v>Tiến</v>
      </c>
      <c r="Q23" s="80" t="s">
        <v>8</v>
      </c>
      <c r="R23" s="16"/>
    </row>
    <row r="24">
      <c r="A24" s="57"/>
      <c r="B24" s="82"/>
      <c r="C24" s="87">
        <v>255000.0</v>
      </c>
      <c r="D24" s="87" t="str">
        <f>H23</f>
        <v>Toàn</v>
      </c>
      <c r="E24" s="88"/>
      <c r="F24" s="84" t="b">
        <f t="shared" ref="F24:F26" si="12">C24=sum(H24:P24)</f>
        <v>1</v>
      </c>
      <c r="G24" s="33" t="s">
        <v>155</v>
      </c>
      <c r="H24" s="33">
        <f t="shared" ref="H24:H25" si="13">$C24/$C$8</f>
        <v>36428.57143</v>
      </c>
      <c r="I24" s="89"/>
      <c r="J24" s="33">
        <f t="shared" ref="J24:J25" si="14">$C24/$C$8</f>
        <v>36428.57143</v>
      </c>
      <c r="K24" s="33">
        <f t="shared" ref="K24:K25" si="15">$C24/$C$8*2</f>
        <v>72857.14286</v>
      </c>
      <c r="L24" s="33">
        <f t="shared" ref="L24:N24" si="11">$C24/$C$8</f>
        <v>36428.57143</v>
      </c>
      <c r="M24" s="33">
        <f t="shared" si="11"/>
        <v>36428.57143</v>
      </c>
      <c r="N24" s="33">
        <f t="shared" si="11"/>
        <v>36428.57143</v>
      </c>
      <c r="O24" s="89"/>
      <c r="P24" s="89"/>
      <c r="Q24" s="42">
        <f t="shared" ref="Q24:Q26" si="17">COUNTIF(H24:P24,"&lt;&gt;0")+1</f>
        <v>7</v>
      </c>
      <c r="R24" s="16"/>
    </row>
    <row r="25">
      <c r="A25" s="81"/>
      <c r="B25" s="82"/>
      <c r="C25" s="87">
        <f>340000/12*2</f>
        <v>56666.66667</v>
      </c>
      <c r="D25" s="87" t="str">
        <f>H23</f>
        <v>Toàn</v>
      </c>
      <c r="E25" s="88" t="s">
        <v>55</v>
      </c>
      <c r="F25" s="84" t="b">
        <f t="shared" si="12"/>
        <v>1</v>
      </c>
      <c r="G25" s="33" t="s">
        <v>157</v>
      </c>
      <c r="H25" s="33">
        <f t="shared" si="13"/>
        <v>8095.238095</v>
      </c>
      <c r="I25" s="89"/>
      <c r="J25" s="33">
        <f t="shared" si="14"/>
        <v>8095.238095</v>
      </c>
      <c r="K25" s="33">
        <f t="shared" si="15"/>
        <v>16190.47619</v>
      </c>
      <c r="L25" s="33">
        <f t="shared" ref="L25:N25" si="16">$C25/$C$8</f>
        <v>8095.238095</v>
      </c>
      <c r="M25" s="33">
        <f t="shared" si="16"/>
        <v>8095.238095</v>
      </c>
      <c r="N25" s="33">
        <f t="shared" si="16"/>
        <v>8095.238095</v>
      </c>
      <c r="O25" s="89"/>
      <c r="P25" s="89"/>
      <c r="Q25" s="42">
        <f t="shared" si="17"/>
        <v>7</v>
      </c>
      <c r="R25" s="16"/>
    </row>
    <row r="26">
      <c r="A26" s="81"/>
      <c r="B26" s="82"/>
      <c r="C26" s="87">
        <v>40000.0</v>
      </c>
      <c r="D26" s="87" t="str">
        <f>L23</f>
        <v>Kiên</v>
      </c>
      <c r="E26" s="88" t="s">
        <v>65</v>
      </c>
      <c r="F26" s="84" t="b">
        <f t="shared" si="12"/>
        <v>1</v>
      </c>
      <c r="G26" s="33" t="s">
        <v>159</v>
      </c>
      <c r="H26" s="33">
        <f>$C$26/5</f>
        <v>8000</v>
      </c>
      <c r="I26" s="89"/>
      <c r="J26" s="89"/>
      <c r="K26" s="33">
        <f t="shared" ref="K26:N26" si="18">$C$26/5</f>
        <v>8000</v>
      </c>
      <c r="L26" s="33">
        <f t="shared" si="18"/>
        <v>8000</v>
      </c>
      <c r="M26" s="33">
        <f t="shared" si="18"/>
        <v>8000</v>
      </c>
      <c r="N26" s="33">
        <f t="shared" si="18"/>
        <v>8000</v>
      </c>
      <c r="O26" s="89"/>
      <c r="P26" s="89"/>
      <c r="Q26" s="42">
        <f t="shared" si="17"/>
        <v>6</v>
      </c>
      <c r="R26" s="16"/>
    </row>
    <row r="27">
      <c r="A27" s="81"/>
      <c r="B27" s="82"/>
      <c r="C27" s="82"/>
      <c r="D27" s="82"/>
      <c r="E27" s="83"/>
      <c r="F27" s="84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42"/>
      <c r="R27" s="16"/>
    </row>
    <row r="28">
      <c r="A28" s="81"/>
      <c r="B28" s="82"/>
      <c r="C28" s="87">
        <v>120000.0</v>
      </c>
      <c r="D28" s="87" t="str">
        <f>L23</f>
        <v>Kiên</v>
      </c>
      <c r="E28" s="88"/>
      <c r="F28" s="84" t="b">
        <f t="shared" ref="F28:F30" si="21">C28=sum(H28:P28)</f>
        <v>1</v>
      </c>
      <c r="G28" s="33" t="s">
        <v>160</v>
      </c>
      <c r="H28" s="33">
        <f t="shared" ref="H28:I28" si="19">$C$28/$C$9</f>
        <v>30000</v>
      </c>
      <c r="I28" s="33">
        <f t="shared" si="19"/>
        <v>30000</v>
      </c>
      <c r="J28" s="89"/>
      <c r="K28" s="89"/>
      <c r="L28" s="33">
        <f t="shared" ref="L28:M28" si="20">$C$28/$C$9</f>
        <v>30000</v>
      </c>
      <c r="M28" s="33">
        <f t="shared" si="20"/>
        <v>30000</v>
      </c>
      <c r="N28" s="89"/>
      <c r="O28" s="89"/>
      <c r="P28" s="89"/>
      <c r="Q28" s="42">
        <f t="shared" ref="Q28:Q30" si="24">COUNTIF(H28:P28,"&lt;&gt;0")</f>
        <v>4</v>
      </c>
      <c r="R28" s="16"/>
    </row>
    <row r="29">
      <c r="A29" s="81"/>
      <c r="B29" s="82"/>
      <c r="C29" s="87">
        <f>340000/12*2</f>
        <v>56666.66667</v>
      </c>
      <c r="D29" s="87" t="str">
        <f>H23</f>
        <v>Toàn</v>
      </c>
      <c r="E29" s="88"/>
      <c r="F29" s="84" t="b">
        <f t="shared" si="21"/>
        <v>1</v>
      </c>
      <c r="G29" s="33" t="s">
        <v>161</v>
      </c>
      <c r="H29" s="33">
        <f t="shared" ref="H29:I29" si="22">$C$29/$C$9</f>
        <v>14166.66667</v>
      </c>
      <c r="I29" s="33">
        <f t="shared" si="22"/>
        <v>14166.66667</v>
      </c>
      <c r="J29" s="89"/>
      <c r="K29" s="89"/>
      <c r="L29" s="33">
        <f t="shared" ref="L29:M29" si="23">$C$29/$C$9</f>
        <v>14166.66667</v>
      </c>
      <c r="M29" s="33">
        <f t="shared" si="23"/>
        <v>14166.66667</v>
      </c>
      <c r="N29" s="89"/>
      <c r="O29" s="89"/>
      <c r="P29" s="89"/>
      <c r="Q29" s="42">
        <f t="shared" si="24"/>
        <v>4</v>
      </c>
      <c r="R29" s="16"/>
    </row>
    <row r="30">
      <c r="A30" s="81"/>
      <c r="B30" s="82"/>
      <c r="C30" s="87">
        <f>9000*2</f>
        <v>18000</v>
      </c>
      <c r="D30" s="87" t="str">
        <f>H23</f>
        <v>Toàn</v>
      </c>
      <c r="E30" s="88" t="s">
        <v>127</v>
      </c>
      <c r="F30" s="84" t="b">
        <f t="shared" si="21"/>
        <v>1</v>
      </c>
      <c r="G30" s="33" t="s">
        <v>162</v>
      </c>
      <c r="H30" s="33">
        <f t="shared" ref="H30:I30" si="25">$C$30/$C$9</f>
        <v>4500</v>
      </c>
      <c r="I30" s="33">
        <f t="shared" si="25"/>
        <v>4500</v>
      </c>
      <c r="J30" s="89"/>
      <c r="K30" s="89"/>
      <c r="L30" s="33">
        <f t="shared" ref="L30:M30" si="26">$C$30/$C$9</f>
        <v>4500</v>
      </c>
      <c r="M30" s="33">
        <f t="shared" si="26"/>
        <v>4500</v>
      </c>
      <c r="N30" s="89"/>
      <c r="O30" s="89"/>
      <c r="P30" s="89"/>
      <c r="Q30" s="42">
        <f t="shared" si="24"/>
        <v>4</v>
      </c>
      <c r="R30" s="16"/>
    </row>
    <row r="31" ht="6.0" customHeight="1">
      <c r="A31" s="81"/>
      <c r="B31" s="82"/>
      <c r="C31" s="82"/>
      <c r="D31" s="82"/>
      <c r="E31" s="83"/>
      <c r="F31" s="84"/>
      <c r="G31" s="32"/>
      <c r="H31" s="19"/>
      <c r="I31" s="19"/>
      <c r="J31" s="19"/>
      <c r="K31" s="32"/>
      <c r="L31" s="19"/>
      <c r="M31" s="32"/>
      <c r="N31" s="32"/>
      <c r="O31" s="32"/>
      <c r="P31" s="32"/>
      <c r="Q31" s="19"/>
      <c r="R31" s="16"/>
    </row>
    <row r="32" ht="18.0" customHeight="1">
      <c r="A32" s="81"/>
      <c r="B32" s="82"/>
      <c r="C32" s="82"/>
      <c r="D32" s="82"/>
      <c r="E32" s="83"/>
      <c r="F32" s="84"/>
      <c r="G32" s="73" t="s">
        <v>68</v>
      </c>
      <c r="H32" s="14"/>
      <c r="I32" s="14"/>
      <c r="J32" s="14"/>
      <c r="K32" s="14"/>
      <c r="L32" s="14"/>
      <c r="M32" s="14"/>
      <c r="N32" s="14"/>
      <c r="O32" s="14"/>
      <c r="P32" s="15"/>
      <c r="Q32" s="19"/>
      <c r="R32" s="16"/>
    </row>
    <row r="33" ht="3.75" customHeight="1">
      <c r="A33" s="81"/>
      <c r="B33" s="82"/>
      <c r="C33" s="82"/>
      <c r="D33" s="82"/>
      <c r="E33" s="83"/>
      <c r="F33" s="84"/>
      <c r="G33" s="32"/>
      <c r="H33" s="19"/>
      <c r="I33" s="19"/>
      <c r="J33" s="19"/>
      <c r="K33" s="32"/>
      <c r="L33" s="19"/>
      <c r="M33" s="32"/>
      <c r="N33" s="32"/>
      <c r="O33" s="32"/>
      <c r="P33" s="32"/>
      <c r="Q33" s="19"/>
      <c r="R33" s="16"/>
    </row>
    <row r="34">
      <c r="A34" s="81"/>
      <c r="B34" s="82"/>
      <c r="C34" s="82"/>
      <c r="D34" s="82"/>
      <c r="E34" s="83"/>
      <c r="F34" s="84" t="b">
        <f t="shared" ref="F34:F41" si="27">If(C34 - round(sum(H34:P34),0) &lt; 5000, True, False)</f>
        <v>1</v>
      </c>
      <c r="G34" s="33" t="s">
        <v>165</v>
      </c>
      <c r="H34" s="33">
        <f>-'2606'!H17</f>
        <v>161285</v>
      </c>
      <c r="I34" s="33">
        <f>-'2606'!I17</f>
        <v>-153607</v>
      </c>
      <c r="J34" s="89"/>
      <c r="K34" s="33">
        <f>-'2606'!K17</f>
        <v>-584</v>
      </c>
      <c r="L34" s="33">
        <f>-'2606'!L17</f>
        <v>-8036</v>
      </c>
      <c r="M34" s="33">
        <f>-'2606'!M17</f>
        <v>52714</v>
      </c>
      <c r="N34" s="89"/>
      <c r="O34" s="89"/>
      <c r="P34" s="33">
        <f>-'2606'!N17</f>
        <v>-50571</v>
      </c>
      <c r="Q34" s="42">
        <f>COUNTIF(H34:P34,"&lt;&gt;0")</f>
        <v>6</v>
      </c>
      <c r="R34" s="16"/>
    </row>
    <row r="35" ht="15.0" customHeight="1">
      <c r="A35" s="2"/>
      <c r="B35" s="8"/>
      <c r="C35" s="90"/>
      <c r="D35" s="8"/>
      <c r="E35" s="91"/>
      <c r="F35" s="84" t="b">
        <f t="shared" si="27"/>
        <v>1</v>
      </c>
      <c r="G35" s="33" t="s">
        <v>167</v>
      </c>
      <c r="H35" s="33">
        <v>-40000.0</v>
      </c>
      <c r="I35" s="89"/>
      <c r="J35" s="33">
        <v>40000.0</v>
      </c>
      <c r="K35" s="89"/>
      <c r="L35" s="89"/>
      <c r="M35" s="89"/>
      <c r="N35" s="89"/>
      <c r="O35" s="89"/>
      <c r="P35" s="89"/>
      <c r="Q35" s="42"/>
      <c r="R35" s="2"/>
    </row>
    <row r="36" ht="15.0" customHeight="1">
      <c r="A36" s="2"/>
      <c r="B36" s="8"/>
      <c r="C36" s="90"/>
      <c r="D36" s="8"/>
      <c r="E36" s="91"/>
      <c r="F36" s="84" t="b">
        <f t="shared" si="27"/>
        <v>1</v>
      </c>
      <c r="G36" s="33" t="s">
        <v>169</v>
      </c>
      <c r="H36" s="33">
        <v>-43000.0</v>
      </c>
      <c r="I36" s="89"/>
      <c r="J36" s="89"/>
      <c r="K36" s="89"/>
      <c r="L36" s="33">
        <v>43000.0</v>
      </c>
      <c r="M36" s="89"/>
      <c r="N36" s="89"/>
      <c r="O36" s="89"/>
      <c r="P36" s="89"/>
      <c r="Q36" s="42"/>
      <c r="R36" s="2"/>
    </row>
    <row r="37" ht="15.0" customHeight="1">
      <c r="A37" s="2"/>
      <c r="B37" s="8"/>
      <c r="C37" s="90"/>
      <c r="D37" s="8"/>
      <c r="E37" s="91"/>
      <c r="F37" s="84" t="b">
        <f t="shared" si="27"/>
        <v>1</v>
      </c>
      <c r="G37" s="33" t="s">
        <v>173</v>
      </c>
      <c r="H37" s="33">
        <v>25000.0</v>
      </c>
      <c r="I37" s="89"/>
      <c r="J37" s="89"/>
      <c r="K37" s="89"/>
      <c r="L37" s="33">
        <v>-25000.0</v>
      </c>
      <c r="M37" s="89"/>
      <c r="N37" s="89"/>
      <c r="O37" s="89"/>
      <c r="P37" s="89"/>
      <c r="Q37" s="42"/>
      <c r="R37" s="2"/>
    </row>
    <row r="38" ht="15.0" customHeight="1">
      <c r="A38" s="2"/>
      <c r="B38" s="8"/>
      <c r="C38" s="90"/>
      <c r="D38" s="8"/>
      <c r="E38" s="91"/>
      <c r="F38" s="84" t="b">
        <f t="shared" si="27"/>
        <v>1</v>
      </c>
      <c r="G38" s="33" t="s">
        <v>174</v>
      </c>
      <c r="H38" s="33">
        <v>-15000.0</v>
      </c>
      <c r="I38" s="89"/>
      <c r="J38" s="89"/>
      <c r="K38" s="89"/>
      <c r="L38" s="89"/>
      <c r="M38" s="33">
        <f>15000</f>
        <v>15000</v>
      </c>
      <c r="N38" s="89"/>
      <c r="O38" s="89"/>
      <c r="P38" s="89"/>
      <c r="Q38" s="42"/>
      <c r="R38" s="2"/>
    </row>
    <row r="39" ht="15.0" customHeight="1">
      <c r="A39" s="2"/>
      <c r="B39" s="8"/>
      <c r="C39" s="90"/>
      <c r="D39" s="8"/>
      <c r="E39" s="91"/>
      <c r="F39" s="84" t="b">
        <f t="shared" si="27"/>
        <v>1</v>
      </c>
      <c r="G39" s="33" t="s">
        <v>175</v>
      </c>
      <c r="H39" s="89"/>
      <c r="I39" s="89"/>
      <c r="J39" s="89"/>
      <c r="K39" s="89"/>
      <c r="L39" s="33">
        <v>-50000.0</v>
      </c>
      <c r="M39" s="33">
        <v>50000.0</v>
      </c>
      <c r="N39" s="89"/>
      <c r="O39" s="89"/>
      <c r="P39" s="89"/>
      <c r="Q39" s="42"/>
      <c r="R39" s="2"/>
    </row>
    <row r="40" ht="15.0" customHeight="1">
      <c r="A40" s="2"/>
      <c r="B40" s="8"/>
      <c r="C40" s="90"/>
      <c r="D40" s="8"/>
      <c r="E40" s="91"/>
      <c r="F40" s="84" t="b">
        <f t="shared" si="27"/>
        <v>1</v>
      </c>
      <c r="G40" s="33" t="s">
        <v>176</v>
      </c>
      <c r="H40" s="89"/>
      <c r="I40" s="33">
        <v>30000.0</v>
      </c>
      <c r="J40" s="89"/>
      <c r="K40" s="89"/>
      <c r="L40" s="89"/>
      <c r="M40" s="33">
        <v>30000.0</v>
      </c>
      <c r="N40" s="89"/>
      <c r="O40" s="33">
        <v>-60000.0</v>
      </c>
      <c r="P40" s="89"/>
      <c r="Q40" s="42">
        <f t="shared" ref="Q40:Q41" si="28">COUNTIF(H40:P40,"&lt;&gt;0")</f>
        <v>3</v>
      </c>
      <c r="R40" s="2"/>
    </row>
    <row r="41" ht="15.0" customHeight="1">
      <c r="A41" s="2"/>
      <c r="B41" s="8"/>
      <c r="C41" s="90"/>
      <c r="D41" s="8"/>
      <c r="E41" s="91"/>
      <c r="F41" s="84" t="b">
        <f t="shared" si="27"/>
        <v>1</v>
      </c>
      <c r="G41" s="33" t="s">
        <v>177</v>
      </c>
      <c r="H41" s="33">
        <v>30000.0</v>
      </c>
      <c r="I41" s="89"/>
      <c r="J41" s="89"/>
      <c r="K41" s="89"/>
      <c r="L41" s="33">
        <v>-30000.0</v>
      </c>
      <c r="M41" s="89"/>
      <c r="N41" s="89"/>
      <c r="O41" s="89"/>
      <c r="P41" s="89"/>
      <c r="Q41" s="42">
        <f t="shared" si="28"/>
        <v>2</v>
      </c>
      <c r="R41" s="2"/>
    </row>
    <row r="42" ht="15.0" customHeight="1">
      <c r="A42" s="2"/>
      <c r="B42" s="8"/>
      <c r="C42" s="90"/>
      <c r="D42" s="8"/>
      <c r="E42" s="91"/>
      <c r="F42" s="92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2"/>
    </row>
    <row r="43" ht="15.0" customHeight="1">
      <c r="A43" s="2"/>
      <c r="B43" s="8"/>
      <c r="C43" s="93" t="s">
        <v>81</v>
      </c>
      <c r="D43" s="8"/>
      <c r="E43" s="9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2"/>
    </row>
    <row r="44" ht="12.75" customHeight="1">
      <c r="A44" s="16"/>
      <c r="B44" s="19"/>
      <c r="C44" s="94"/>
      <c r="D44" s="95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105"/>
      <c r="Q44" s="19"/>
      <c r="R44" s="16"/>
    </row>
    <row r="45" ht="12.75" customHeight="1">
      <c r="A45" s="16"/>
      <c r="B45" s="19"/>
      <c r="C45" s="94"/>
      <c r="D45" s="98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106"/>
      <c r="Q45" s="19"/>
      <c r="R45" s="16"/>
    </row>
    <row r="46" ht="12.75" customHeight="1">
      <c r="A46" s="16"/>
      <c r="B46" s="19"/>
      <c r="C46" s="101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7"/>
      <c r="Q46" s="19"/>
      <c r="R46" s="16"/>
    </row>
    <row r="47" ht="19.5" customHeight="1">
      <c r="A47" s="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</sheetData>
  <mergeCells count="10">
    <mergeCell ref="C21:E21"/>
    <mergeCell ref="G21:P21"/>
    <mergeCell ref="G32:P32"/>
    <mergeCell ref="C3:D3"/>
    <mergeCell ref="G5:P5"/>
    <mergeCell ref="D7:E7"/>
    <mergeCell ref="D8:E8"/>
    <mergeCell ref="D9:E9"/>
    <mergeCell ref="D10:E10"/>
    <mergeCell ref="D12:E12"/>
  </mergeCells>
  <conditionalFormatting sqref="A12:B13 F12:R13">
    <cfRule type="containsText" dxfId="0" priority="1" operator="containsText" text="Chuyển tiền">
      <formula>NOT(ISERROR(SEARCH(("Chuyển tiền"),(A12))))</formula>
    </cfRule>
  </conditionalFormatting>
  <conditionalFormatting sqref="A12:B13 F12:R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7.38"/>
    <col customWidth="1" min="12" max="15" width="11.75"/>
    <col customWidth="1" min="16" max="16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2"/>
    </row>
    <row r="3" ht="16.5" customHeight="1">
      <c r="A3" s="2"/>
      <c r="B3" s="4"/>
      <c r="C3" s="6" t="s">
        <v>141</v>
      </c>
      <c r="D3" s="7"/>
      <c r="E3" s="8"/>
      <c r="F3" s="8"/>
      <c r="G3" s="9" t="s">
        <v>3</v>
      </c>
      <c r="H3" s="10">
        <v>1.0</v>
      </c>
      <c r="I3" s="10">
        <f t="shared" ref="I3:N3" si="1">H3+1</f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5"/>
      <c r="P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8"/>
      <c r="P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5"/>
      <c r="O5" s="8"/>
      <c r="P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19"/>
      <c r="P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12</v>
      </c>
      <c r="J7" s="29" t="s">
        <v>21</v>
      </c>
      <c r="K7" s="29" t="s">
        <v>13</v>
      </c>
      <c r="L7" s="29" t="s">
        <v>15</v>
      </c>
      <c r="M7" s="29" t="s">
        <v>14</v>
      </c>
      <c r="N7" s="29" t="s">
        <v>107</v>
      </c>
      <c r="O7" s="19"/>
      <c r="P7" s="16"/>
    </row>
    <row r="8">
      <c r="A8" s="16"/>
      <c r="B8" s="19"/>
      <c r="C8" s="30">
        <v>8.0</v>
      </c>
      <c r="D8" s="31" t="s">
        <v>150</v>
      </c>
      <c r="E8" s="15"/>
      <c r="F8" s="32"/>
      <c r="G8" s="33" t="str">
        <f>C21</f>
        <v>Tổng ứng trước</v>
      </c>
      <c r="H8" s="34">
        <f t="shared" ref="H8:N8" si="2">round(sumif($D:$D,H7,$C:$C),0)</f>
        <v>409333</v>
      </c>
      <c r="I8" s="34">
        <f t="shared" si="2"/>
        <v>0</v>
      </c>
      <c r="J8" s="34">
        <f t="shared" si="2"/>
        <v>0</v>
      </c>
      <c r="K8" s="34">
        <f t="shared" si="2"/>
        <v>0</v>
      </c>
      <c r="L8" s="34">
        <f t="shared" si="2"/>
        <v>16000</v>
      </c>
      <c r="M8" s="34">
        <f t="shared" si="2"/>
        <v>0</v>
      </c>
      <c r="N8" s="34">
        <f t="shared" si="2"/>
        <v>0</v>
      </c>
      <c r="O8" s="19"/>
      <c r="P8" s="16"/>
    </row>
    <row r="9">
      <c r="A9" s="16"/>
      <c r="B9" s="19"/>
      <c r="C9" s="35"/>
      <c r="D9" s="35"/>
      <c r="F9" s="32"/>
      <c r="G9" s="33" t="str">
        <f>"[-] "&amp;G21</f>
        <v>[-] Tổng chi phí</v>
      </c>
      <c r="H9" s="34">
        <f t="shared" ref="H9:N9" si="3">round(sum(H24:H27),0)</f>
        <v>53167</v>
      </c>
      <c r="I9" s="34">
        <f t="shared" si="3"/>
        <v>106333</v>
      </c>
      <c r="J9" s="34">
        <f t="shared" si="3"/>
        <v>53167</v>
      </c>
      <c r="K9" s="34">
        <f t="shared" si="3"/>
        <v>106333</v>
      </c>
      <c r="L9" s="34">
        <f t="shared" si="3"/>
        <v>53167</v>
      </c>
      <c r="M9" s="34">
        <f t="shared" si="3"/>
        <v>53167</v>
      </c>
      <c r="N9" s="34">
        <f t="shared" si="3"/>
        <v>0</v>
      </c>
      <c r="O9" s="19"/>
      <c r="P9" s="16"/>
    </row>
    <row r="10">
      <c r="A10" s="16"/>
      <c r="B10" s="19"/>
      <c r="C10" s="35"/>
      <c r="D10" s="35"/>
      <c r="F10" s="36"/>
      <c r="G10" s="37" t="str">
        <f>"[-] "&amp;G29</f>
        <v>[-] Bù trừ nợ đợt trước</v>
      </c>
      <c r="H10" s="38">
        <f t="shared" ref="H10:N10" si="4">Sum(H31:H37)</f>
        <v>212951</v>
      </c>
      <c r="I10" s="38">
        <f t="shared" si="4"/>
        <v>-259940</v>
      </c>
      <c r="J10" s="38">
        <f t="shared" si="4"/>
        <v>145333</v>
      </c>
      <c r="K10" s="38">
        <f t="shared" si="4"/>
        <v>-917</v>
      </c>
      <c r="L10" s="38">
        <f t="shared" si="4"/>
        <v>-45203</v>
      </c>
      <c r="M10" s="38">
        <f t="shared" si="4"/>
        <v>-453</v>
      </c>
      <c r="N10" s="38">
        <f t="shared" si="4"/>
        <v>-50571</v>
      </c>
      <c r="O10" s="19"/>
      <c r="P10" s="16"/>
    </row>
    <row r="11">
      <c r="A11" s="16"/>
      <c r="B11" s="19"/>
      <c r="F11" s="36"/>
      <c r="G11" s="39" t="s">
        <v>36</v>
      </c>
      <c r="H11" s="40">
        <f t="shared" ref="H11:N11" si="5">H8-H9-H10</f>
        <v>143215</v>
      </c>
      <c r="I11" s="40">
        <f t="shared" si="5"/>
        <v>153607</v>
      </c>
      <c r="J11" s="40">
        <f t="shared" si="5"/>
        <v>-198500</v>
      </c>
      <c r="K11" s="40">
        <f t="shared" si="5"/>
        <v>-105416</v>
      </c>
      <c r="L11" s="40">
        <f t="shared" si="5"/>
        <v>8036</v>
      </c>
      <c r="M11" s="40">
        <f t="shared" si="5"/>
        <v>-52714</v>
      </c>
      <c r="N11" s="40">
        <f t="shared" si="5"/>
        <v>50571</v>
      </c>
      <c r="O11" s="19"/>
      <c r="P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2"/>
      <c r="P12" s="41"/>
    </row>
    <row r="13">
      <c r="A13" s="41"/>
      <c r="B13" s="42"/>
      <c r="F13" s="42"/>
      <c r="G13" s="46" t="s">
        <v>38</v>
      </c>
      <c r="H13" s="47" t="str">
        <f t="shared" ref="H13:N13" si="6">if(H11&lt;0,"Chuyển tiền","Nhận tiền")</f>
        <v>Nhận tiền</v>
      </c>
      <c r="I13" s="47" t="str">
        <f t="shared" si="6"/>
        <v>Nhận tiền</v>
      </c>
      <c r="J13" s="47" t="str">
        <f t="shared" si="6"/>
        <v>Chuyển tiền</v>
      </c>
      <c r="K13" s="47" t="str">
        <f t="shared" si="6"/>
        <v>Chuyển tiền</v>
      </c>
      <c r="L13" s="47" t="str">
        <f t="shared" si="6"/>
        <v>Nhận tiền</v>
      </c>
      <c r="M13" s="47" t="str">
        <f t="shared" si="6"/>
        <v>Chuyển tiền</v>
      </c>
      <c r="N13" s="47" t="str">
        <f t="shared" si="6"/>
        <v>Nhận tiền</v>
      </c>
      <c r="O13" s="42"/>
      <c r="P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49"/>
      <c r="P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-sum(I15:N15)</f>
        <v>-304500</v>
      </c>
      <c r="I15" s="55"/>
      <c r="J15" s="55">
        <v>198500.0</v>
      </c>
      <c r="K15" s="55">
        <v>106000.0</v>
      </c>
      <c r="L15" s="55"/>
      <c r="M15" s="55"/>
      <c r="N15" s="55"/>
      <c r="O15" s="49"/>
      <c r="P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6"/>
    </row>
    <row r="17">
      <c r="A17" s="16"/>
      <c r="B17" s="19"/>
      <c r="C17" s="50"/>
      <c r="D17" s="50"/>
      <c r="E17" s="19"/>
      <c r="F17" s="19"/>
      <c r="G17" s="51" t="s">
        <v>147</v>
      </c>
      <c r="H17" s="56">
        <f t="shared" ref="H17:N17" si="7">H11+H15</f>
        <v>-161285</v>
      </c>
      <c r="I17" s="56">
        <f t="shared" si="7"/>
        <v>153607</v>
      </c>
      <c r="J17" s="56">
        <f t="shared" si="7"/>
        <v>0</v>
      </c>
      <c r="K17" s="56">
        <f t="shared" si="7"/>
        <v>584</v>
      </c>
      <c r="L17" s="56">
        <f t="shared" si="7"/>
        <v>8036</v>
      </c>
      <c r="M17" s="56">
        <f t="shared" si="7"/>
        <v>-52714</v>
      </c>
      <c r="N17" s="56">
        <f t="shared" si="7"/>
        <v>50571</v>
      </c>
      <c r="O17" s="19"/>
      <c r="P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 t="shared" ref="H18:N18" si="8">IF(AND(H17&gt;=-3000,H17&lt;=1000), "Done", "")</f>
        <v/>
      </c>
      <c r="I18" s="62" t="str">
        <f t="shared" si="8"/>
        <v/>
      </c>
      <c r="J18" s="62" t="str">
        <f t="shared" si="8"/>
        <v>Done</v>
      </c>
      <c r="K18" s="62" t="str">
        <f t="shared" si="8"/>
        <v>Done</v>
      </c>
      <c r="L18" s="62" t="str">
        <f t="shared" si="8"/>
        <v/>
      </c>
      <c r="M18" s="62" t="str">
        <f t="shared" si="8"/>
        <v/>
      </c>
      <c r="N18" s="62" t="str">
        <f t="shared" si="8"/>
        <v/>
      </c>
      <c r="O18" s="19"/>
      <c r="P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8"/>
      <c r="P19" s="2"/>
    </row>
    <row r="20" ht="32.25" customHeight="1">
      <c r="A20" s="63"/>
      <c r="B20" s="64"/>
      <c r="C20" s="68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8"/>
      <c r="P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5"/>
      <c r="O21" s="19"/>
      <c r="P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17"/>
      <c r="P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N23" si="9">H7</f>
        <v>Toàn</v>
      </c>
      <c r="I23" s="29" t="str">
        <f t="shared" si="9"/>
        <v>Trường + Thủy</v>
      </c>
      <c r="J23" s="29" t="str">
        <f t="shared" si="9"/>
        <v>Quân</v>
      </c>
      <c r="K23" s="29" t="str">
        <f t="shared" si="9"/>
        <v>Băng + Tâm</v>
      </c>
      <c r="L23" s="29" t="str">
        <f t="shared" si="9"/>
        <v>Kiên</v>
      </c>
      <c r="M23" s="29" t="str">
        <f t="shared" si="9"/>
        <v>Tú</v>
      </c>
      <c r="N23" s="29" t="str">
        <f t="shared" si="9"/>
        <v>Tiến</v>
      </c>
      <c r="O23" s="80" t="s">
        <v>8</v>
      </c>
      <c r="P23" s="16"/>
    </row>
    <row r="24">
      <c r="A24" s="57"/>
      <c r="B24" s="82"/>
      <c r="C24" s="87">
        <v>260000.0</v>
      </c>
      <c r="D24" s="87" t="str">
        <f>H23</f>
        <v>Toàn</v>
      </c>
      <c r="E24" s="88"/>
      <c r="F24" s="84" t="b">
        <f t="shared" ref="F24:F27" si="11">C24=sum(H24:N24)</f>
        <v>1</v>
      </c>
      <c r="G24" s="33" t="s">
        <v>168</v>
      </c>
      <c r="H24" s="33">
        <f t="shared" ref="H24:H27" si="12">$C24/$C$8</f>
        <v>32500</v>
      </c>
      <c r="I24" s="33">
        <f t="shared" ref="I24:I27" si="13">$C24/$C$8*2</f>
        <v>65000</v>
      </c>
      <c r="J24" s="33">
        <f t="shared" ref="J24:J27" si="14">$C24/$C$8</f>
        <v>32500</v>
      </c>
      <c r="K24" s="33">
        <f t="shared" ref="K24:K27" si="15">$C24/$C$8*2</f>
        <v>65000</v>
      </c>
      <c r="L24" s="33">
        <f t="shared" ref="L24:M24" si="10">$C24/$C$8</f>
        <v>32500</v>
      </c>
      <c r="M24" s="33">
        <f t="shared" si="10"/>
        <v>32500</v>
      </c>
      <c r="N24" s="33">
        <v>0.0</v>
      </c>
      <c r="O24" s="42">
        <f t="shared" ref="O24:O27" si="17">COUNTIF(H24:N24,"&lt;&gt;0")+2</f>
        <v>8</v>
      </c>
      <c r="P24" s="16"/>
    </row>
    <row r="25">
      <c r="A25" s="81"/>
      <c r="B25" s="82"/>
      <c r="C25" s="87">
        <f>340000/12*4</f>
        <v>113333.3333</v>
      </c>
      <c r="D25" s="87" t="str">
        <f>H23</f>
        <v>Toàn</v>
      </c>
      <c r="E25" s="88" t="s">
        <v>55</v>
      </c>
      <c r="F25" s="84" t="b">
        <f t="shared" si="11"/>
        <v>1</v>
      </c>
      <c r="G25" s="33" t="s">
        <v>180</v>
      </c>
      <c r="H25" s="33">
        <f t="shared" si="12"/>
        <v>14166.66667</v>
      </c>
      <c r="I25" s="33">
        <f t="shared" si="13"/>
        <v>28333.33333</v>
      </c>
      <c r="J25" s="33">
        <f t="shared" si="14"/>
        <v>14166.66667</v>
      </c>
      <c r="K25" s="33">
        <f t="shared" si="15"/>
        <v>28333.33333</v>
      </c>
      <c r="L25" s="33">
        <f t="shared" ref="L25:M25" si="16">$C25/$C$8</f>
        <v>14166.66667</v>
      </c>
      <c r="M25" s="33">
        <f t="shared" si="16"/>
        <v>14166.66667</v>
      </c>
      <c r="N25" s="33">
        <v>0.0</v>
      </c>
      <c r="O25" s="42">
        <f t="shared" si="17"/>
        <v>8</v>
      </c>
      <c r="P25" s="16"/>
    </row>
    <row r="26">
      <c r="A26" s="81"/>
      <c r="B26" s="82"/>
      <c r="C26" s="87">
        <v>16000.0</v>
      </c>
      <c r="D26" s="87" t="str">
        <f>L23</f>
        <v>Kiên</v>
      </c>
      <c r="E26" s="88" t="s">
        <v>170</v>
      </c>
      <c r="F26" s="84" t="b">
        <f t="shared" si="11"/>
        <v>1</v>
      </c>
      <c r="G26" s="33" t="s">
        <v>82</v>
      </c>
      <c r="H26" s="33">
        <f t="shared" si="12"/>
        <v>2000</v>
      </c>
      <c r="I26" s="33">
        <f t="shared" si="13"/>
        <v>4000</v>
      </c>
      <c r="J26" s="33">
        <f t="shared" si="14"/>
        <v>2000</v>
      </c>
      <c r="K26" s="33">
        <f t="shared" si="15"/>
        <v>4000</v>
      </c>
      <c r="L26" s="33">
        <f t="shared" ref="L26:M26" si="18">$C26/$C$8</f>
        <v>2000</v>
      </c>
      <c r="M26" s="33">
        <f t="shared" si="18"/>
        <v>2000</v>
      </c>
      <c r="N26" s="33">
        <v>0.0</v>
      </c>
      <c r="O26" s="42">
        <f t="shared" si="17"/>
        <v>8</v>
      </c>
      <c r="P26" s="16"/>
    </row>
    <row r="27">
      <c r="A27" s="81"/>
      <c r="B27" s="82"/>
      <c r="C27" s="87">
        <f>9000*4</f>
        <v>36000</v>
      </c>
      <c r="D27" s="87" t="str">
        <f>H23</f>
        <v>Toàn</v>
      </c>
      <c r="E27" s="88" t="s">
        <v>182</v>
      </c>
      <c r="F27" s="84" t="b">
        <f t="shared" si="11"/>
        <v>1</v>
      </c>
      <c r="G27" s="33" t="s">
        <v>183</v>
      </c>
      <c r="H27" s="33">
        <f t="shared" si="12"/>
        <v>4500</v>
      </c>
      <c r="I27" s="33">
        <f t="shared" si="13"/>
        <v>9000</v>
      </c>
      <c r="J27" s="33">
        <f t="shared" si="14"/>
        <v>4500</v>
      </c>
      <c r="K27" s="33">
        <f t="shared" si="15"/>
        <v>9000</v>
      </c>
      <c r="L27" s="33">
        <f t="shared" ref="L27:M27" si="19">$C27/$C$8</f>
        <v>4500</v>
      </c>
      <c r="M27" s="33">
        <f t="shared" si="19"/>
        <v>4500</v>
      </c>
      <c r="N27" s="33">
        <v>0.0</v>
      </c>
      <c r="O27" s="42">
        <f t="shared" si="17"/>
        <v>8</v>
      </c>
      <c r="P27" s="16"/>
    </row>
    <row r="28" ht="6.0" customHeight="1">
      <c r="A28" s="81"/>
      <c r="B28" s="82"/>
      <c r="C28" s="82"/>
      <c r="D28" s="82"/>
      <c r="E28" s="83"/>
      <c r="F28" s="84"/>
      <c r="G28" s="32"/>
      <c r="H28" s="19"/>
      <c r="I28" s="19"/>
      <c r="J28" s="19"/>
      <c r="K28" s="32"/>
      <c r="L28" s="19"/>
      <c r="M28" s="32"/>
      <c r="N28" s="32"/>
      <c r="O28" s="19"/>
      <c r="P28" s="16"/>
    </row>
    <row r="29" ht="18.0" customHeight="1">
      <c r="A29" s="81"/>
      <c r="B29" s="82"/>
      <c r="C29" s="82"/>
      <c r="D29" s="82"/>
      <c r="E29" s="83"/>
      <c r="F29" s="84"/>
      <c r="G29" s="73" t="s">
        <v>68</v>
      </c>
      <c r="H29" s="14"/>
      <c r="I29" s="14"/>
      <c r="J29" s="14"/>
      <c r="K29" s="14"/>
      <c r="L29" s="14"/>
      <c r="M29" s="14"/>
      <c r="N29" s="15"/>
      <c r="O29" s="19"/>
      <c r="P29" s="16"/>
    </row>
    <row r="30" ht="3.75" customHeight="1">
      <c r="A30" s="81"/>
      <c r="B30" s="82"/>
      <c r="C30" s="82"/>
      <c r="D30" s="82"/>
      <c r="E30" s="83"/>
      <c r="F30" s="84"/>
      <c r="G30" s="32"/>
      <c r="H30" s="19"/>
      <c r="I30" s="19"/>
      <c r="J30" s="19"/>
      <c r="K30" s="32"/>
      <c r="L30" s="19"/>
      <c r="M30" s="32"/>
      <c r="N30" s="32"/>
      <c r="O30" s="19"/>
      <c r="P30" s="16"/>
    </row>
    <row r="31">
      <c r="A31" s="81"/>
      <c r="B31" s="82"/>
      <c r="C31" s="82"/>
      <c r="D31" s="82"/>
      <c r="E31" s="83"/>
      <c r="F31" s="84" t="b">
        <f>C31=sum(H31:N31)-1200</f>
        <v>1</v>
      </c>
      <c r="G31" s="33" t="s">
        <v>186</v>
      </c>
      <c r="H31" s="33">
        <f>-'1806'!H17</f>
        <v>212951</v>
      </c>
      <c r="I31" s="33">
        <f>-'1806'!I17</f>
        <v>-259940</v>
      </c>
      <c r="J31" s="33">
        <f>-'1806'!J17</f>
        <v>145333</v>
      </c>
      <c r="K31" s="33">
        <f>-'1806'!K17</f>
        <v>-917</v>
      </c>
      <c r="L31" s="33">
        <f>-'1806'!L17</f>
        <v>-45203</v>
      </c>
      <c r="M31" s="33">
        <f>-'1806'!N17</f>
        <v>-453</v>
      </c>
      <c r="N31" s="33">
        <f>-'1806'!P17</f>
        <v>-50571</v>
      </c>
      <c r="O31" s="42">
        <f>COUNTIF(H31:N31,"&lt;&gt;0")</f>
        <v>7</v>
      </c>
      <c r="P31" s="16"/>
    </row>
    <row r="32" ht="15.0" customHeight="1">
      <c r="A32" s="2"/>
      <c r="B32" s="8"/>
      <c r="C32" s="90"/>
      <c r="D32" s="8"/>
      <c r="E32" s="91"/>
      <c r="F32" s="8"/>
      <c r="G32" s="8"/>
      <c r="H32" s="8"/>
      <c r="I32" s="8"/>
      <c r="J32" s="8"/>
      <c r="K32" s="8"/>
      <c r="L32" s="8"/>
      <c r="M32" s="8"/>
      <c r="N32" s="8"/>
      <c r="O32" s="8"/>
      <c r="P32" s="2"/>
    </row>
    <row r="33" ht="15.0" customHeight="1">
      <c r="A33" s="2"/>
      <c r="B33" s="8"/>
      <c r="C33" s="93" t="s">
        <v>81</v>
      </c>
      <c r="D33" s="8"/>
      <c r="E33" s="91"/>
      <c r="F33" s="8"/>
      <c r="G33" s="8"/>
      <c r="H33" s="8"/>
      <c r="I33" s="8"/>
      <c r="J33" s="8"/>
      <c r="K33" s="8"/>
      <c r="L33" s="8"/>
      <c r="M33" s="8"/>
      <c r="N33" s="8"/>
      <c r="O33" s="8"/>
      <c r="P33" s="2"/>
    </row>
    <row r="34" ht="12.75" customHeight="1">
      <c r="A34" s="16"/>
      <c r="B34" s="19"/>
      <c r="C34" s="94"/>
      <c r="D34" s="95"/>
      <c r="E34" s="96"/>
      <c r="F34" s="96"/>
      <c r="G34" s="96"/>
      <c r="H34" s="96"/>
      <c r="I34" s="96"/>
      <c r="J34" s="96"/>
      <c r="K34" s="96"/>
      <c r="L34" s="96"/>
      <c r="M34" s="96"/>
      <c r="N34" s="105"/>
      <c r="O34" s="19"/>
      <c r="P34" s="16"/>
    </row>
    <row r="35" ht="12.75" customHeight="1">
      <c r="A35" s="16"/>
      <c r="B35" s="19"/>
      <c r="C35" s="101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7"/>
      <c r="O35" s="19"/>
      <c r="P35" s="16"/>
    </row>
    <row r="36" ht="19.5" customHeight="1">
      <c r="A36" s="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</sheetData>
  <mergeCells count="10">
    <mergeCell ref="C21:E21"/>
    <mergeCell ref="G21:N21"/>
    <mergeCell ref="G29:N29"/>
    <mergeCell ref="C3:D3"/>
    <mergeCell ref="G5:N5"/>
    <mergeCell ref="D7:E7"/>
    <mergeCell ref="D8:E8"/>
    <mergeCell ref="D9:E9"/>
    <mergeCell ref="D10:E10"/>
    <mergeCell ref="D12:E12"/>
  </mergeCells>
  <conditionalFormatting sqref="A12:B13 F12:P13">
    <cfRule type="containsText" dxfId="0" priority="1" operator="containsText" text="Chuyển tiền">
      <formula>NOT(ISERROR(SEARCH(("Chuyển tiền"),(A12))))</formula>
    </cfRule>
  </conditionalFormatting>
  <conditionalFormatting sqref="A12:B13 F12:P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7.38"/>
    <col customWidth="1" min="12" max="17" width="11.75"/>
    <col customWidth="1" min="18" max="18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5"/>
      <c r="Q2" s="5"/>
      <c r="R2" s="2"/>
    </row>
    <row r="3" ht="16.5" customHeight="1">
      <c r="A3" s="2"/>
      <c r="B3" s="4"/>
      <c r="C3" s="6" t="s">
        <v>142</v>
      </c>
      <c r="D3" s="7"/>
      <c r="E3" s="8"/>
      <c r="F3" s="8"/>
      <c r="G3" s="9" t="s">
        <v>3</v>
      </c>
      <c r="H3" s="10">
        <v>1.0</v>
      </c>
      <c r="I3" s="10">
        <f t="shared" ref="I3:P3" si="1">H3+1</f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10">
        <f t="shared" si="1"/>
        <v>9</v>
      </c>
      <c r="Q3" s="5"/>
      <c r="R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8"/>
      <c r="R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5"/>
      <c r="Q5" s="8"/>
      <c r="R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19"/>
      <c r="R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12</v>
      </c>
      <c r="J7" s="29" t="s">
        <v>21</v>
      </c>
      <c r="K7" s="29" t="s">
        <v>143</v>
      </c>
      <c r="L7" s="29" t="s">
        <v>15</v>
      </c>
      <c r="M7" s="29" t="s">
        <v>144</v>
      </c>
      <c r="N7" s="29" t="s">
        <v>14</v>
      </c>
      <c r="O7" s="29" t="s">
        <v>145</v>
      </c>
      <c r="P7" s="29" t="s">
        <v>107</v>
      </c>
      <c r="Q7" s="19"/>
      <c r="R7" s="16"/>
    </row>
    <row r="8">
      <c r="A8" s="16"/>
      <c r="B8" s="19"/>
      <c r="C8" s="30">
        <v>8.0</v>
      </c>
      <c r="D8" s="31" t="s">
        <v>146</v>
      </c>
      <c r="E8" s="15"/>
      <c r="F8" s="32"/>
      <c r="G8" s="33" t="str">
        <f>C21</f>
        <v>Tổng ứng trước</v>
      </c>
      <c r="H8" s="34">
        <f t="shared" ref="H8:P8" si="2">round(sumif($D:$D,H7,$C:$C),0)</f>
        <v>453667</v>
      </c>
      <c r="I8" s="34">
        <f t="shared" si="2"/>
        <v>404000</v>
      </c>
      <c r="J8" s="34">
        <f t="shared" si="2"/>
        <v>0</v>
      </c>
      <c r="K8" s="34">
        <f t="shared" si="2"/>
        <v>0</v>
      </c>
      <c r="L8" s="34">
        <f t="shared" si="2"/>
        <v>158500</v>
      </c>
      <c r="M8" s="34">
        <f t="shared" si="2"/>
        <v>0</v>
      </c>
      <c r="N8" s="34">
        <f t="shared" si="2"/>
        <v>0</v>
      </c>
      <c r="O8" s="34">
        <f t="shared" si="2"/>
        <v>0</v>
      </c>
      <c r="P8" s="34">
        <f t="shared" si="2"/>
        <v>0</v>
      </c>
      <c r="Q8" s="19"/>
      <c r="R8" s="16"/>
    </row>
    <row r="9">
      <c r="A9" s="16"/>
      <c r="B9" s="19"/>
      <c r="C9" s="30">
        <v>7.0</v>
      </c>
      <c r="D9" s="31" t="s">
        <v>149</v>
      </c>
      <c r="E9" s="15"/>
      <c r="F9" s="32"/>
      <c r="G9" s="33" t="str">
        <f>"[-] "&amp;G21</f>
        <v>[-] Tổng chi phí</v>
      </c>
      <c r="H9" s="34">
        <f t="shared" ref="H9:P9" si="3">round(sum(H24:H36),0)</f>
        <v>178690</v>
      </c>
      <c r="I9" s="34">
        <f t="shared" si="3"/>
        <v>215774</v>
      </c>
      <c r="J9" s="34">
        <f t="shared" si="3"/>
        <v>114333</v>
      </c>
      <c r="K9" s="34">
        <f t="shared" si="3"/>
        <v>37083</v>
      </c>
      <c r="L9" s="34">
        <f t="shared" si="3"/>
        <v>107440</v>
      </c>
      <c r="M9" s="34">
        <f t="shared" si="3"/>
        <v>163071</v>
      </c>
      <c r="N9" s="34">
        <f t="shared" si="3"/>
        <v>162690</v>
      </c>
      <c r="O9" s="34">
        <f t="shared" si="3"/>
        <v>37083</v>
      </c>
      <c r="P9" s="34">
        <f t="shared" si="3"/>
        <v>0</v>
      </c>
      <c r="Q9" s="19"/>
      <c r="R9" s="16"/>
    </row>
    <row r="10">
      <c r="A10" s="16"/>
      <c r="B10" s="19"/>
      <c r="C10" s="30">
        <v>4.0</v>
      </c>
      <c r="D10" s="31" t="s">
        <v>151</v>
      </c>
      <c r="E10" s="15"/>
      <c r="F10" s="36"/>
      <c r="G10" s="37" t="str">
        <f>"[-] "&amp;G38</f>
        <v>[-] Bù trừ nợ đợt trước</v>
      </c>
      <c r="H10" s="38">
        <f t="shared" ref="H10:P10" si="4">Sum(H40:H54)</f>
        <v>35857</v>
      </c>
      <c r="I10" s="38">
        <f t="shared" si="4"/>
        <v>-71714</v>
      </c>
      <c r="J10" s="38">
        <f t="shared" si="4"/>
        <v>31000</v>
      </c>
      <c r="K10" s="38">
        <f t="shared" si="4"/>
        <v>0</v>
      </c>
      <c r="L10" s="38">
        <f t="shared" si="4"/>
        <v>5857</v>
      </c>
      <c r="M10" s="38">
        <f t="shared" si="4"/>
        <v>0</v>
      </c>
      <c r="N10" s="38">
        <f t="shared" si="4"/>
        <v>49857</v>
      </c>
      <c r="O10" s="38">
        <f t="shared" si="4"/>
        <v>0</v>
      </c>
      <c r="P10" s="38">
        <f t="shared" si="4"/>
        <v>-50571</v>
      </c>
      <c r="Q10" s="19"/>
      <c r="R10" s="16"/>
    </row>
    <row r="11">
      <c r="A11" s="16"/>
      <c r="B11" s="19"/>
      <c r="F11" s="36"/>
      <c r="G11" s="39" t="s">
        <v>36</v>
      </c>
      <c r="H11" s="40">
        <f t="shared" ref="H11:P11" si="5">H8-H9-H10</f>
        <v>239120</v>
      </c>
      <c r="I11" s="40">
        <f t="shared" si="5"/>
        <v>259940</v>
      </c>
      <c r="J11" s="40">
        <f t="shared" si="5"/>
        <v>-145333</v>
      </c>
      <c r="K11" s="40">
        <f t="shared" si="5"/>
        <v>-37083</v>
      </c>
      <c r="L11" s="40">
        <f t="shared" si="5"/>
        <v>45203</v>
      </c>
      <c r="M11" s="40">
        <f t="shared" si="5"/>
        <v>-163071</v>
      </c>
      <c r="N11" s="40">
        <f t="shared" si="5"/>
        <v>-212547</v>
      </c>
      <c r="O11" s="40">
        <f t="shared" si="5"/>
        <v>-37083</v>
      </c>
      <c r="P11" s="40">
        <f t="shared" si="5"/>
        <v>50571</v>
      </c>
      <c r="Q11" s="19"/>
      <c r="R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5"/>
      <c r="P12" s="45"/>
      <c r="Q12" s="42"/>
      <c r="R12" s="41"/>
    </row>
    <row r="13">
      <c r="A13" s="41"/>
      <c r="B13" s="42"/>
      <c r="F13" s="42"/>
      <c r="G13" s="46" t="s">
        <v>38</v>
      </c>
      <c r="H13" s="47" t="str">
        <f t="shared" ref="H13:P13" si="6">if(H11&lt;0,"Chuyển tiền","Nhận tiền")</f>
        <v>Nhận tiền</v>
      </c>
      <c r="I13" s="47" t="str">
        <f t="shared" si="6"/>
        <v>Nhận tiền</v>
      </c>
      <c r="J13" s="47" t="str">
        <f t="shared" si="6"/>
        <v>Chuyển tiền</v>
      </c>
      <c r="K13" s="47" t="str">
        <f t="shared" si="6"/>
        <v>Chuyển tiền</v>
      </c>
      <c r="L13" s="47" t="str">
        <f t="shared" si="6"/>
        <v>Nhận tiền</v>
      </c>
      <c r="M13" s="47" t="str">
        <f t="shared" si="6"/>
        <v>Chuyển tiền</v>
      </c>
      <c r="N13" s="47" t="str">
        <f t="shared" si="6"/>
        <v>Chuyển tiền</v>
      </c>
      <c r="O13" s="47" t="str">
        <f t="shared" si="6"/>
        <v>Chuyển tiền</v>
      </c>
      <c r="P13" s="47" t="str">
        <f t="shared" si="6"/>
        <v>Nhận tiền</v>
      </c>
      <c r="Q13" s="42"/>
      <c r="R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49"/>
      <c r="R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-sum(I15:P15)</f>
        <v>-452071</v>
      </c>
      <c r="I15" s="108"/>
      <c r="J15" s="55"/>
      <c r="K15" s="55">
        <v>38000.0</v>
      </c>
      <c r="L15" s="55"/>
      <c r="M15" s="55">
        <v>163071.0</v>
      </c>
      <c r="N15" s="55">
        <v>213000.0</v>
      </c>
      <c r="O15" s="55">
        <v>38000.0</v>
      </c>
      <c r="P15" s="55"/>
      <c r="Q15" s="49"/>
      <c r="R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6"/>
    </row>
    <row r="17">
      <c r="A17" s="16"/>
      <c r="B17" s="19"/>
      <c r="C17" s="50"/>
      <c r="D17" s="50"/>
      <c r="E17" s="19"/>
      <c r="F17" s="19"/>
      <c r="G17" s="51" t="s">
        <v>147</v>
      </c>
      <c r="H17" s="56">
        <f t="shared" ref="H17:P17" si="7">H11+H15</f>
        <v>-212951</v>
      </c>
      <c r="I17" s="56">
        <f t="shared" si="7"/>
        <v>259940</v>
      </c>
      <c r="J17" s="56">
        <f t="shared" si="7"/>
        <v>-145333</v>
      </c>
      <c r="K17" s="56">
        <f t="shared" si="7"/>
        <v>917</v>
      </c>
      <c r="L17" s="56">
        <f t="shared" si="7"/>
        <v>45203</v>
      </c>
      <c r="M17" s="56">
        <f t="shared" si="7"/>
        <v>0</v>
      </c>
      <c r="N17" s="56">
        <f t="shared" si="7"/>
        <v>453</v>
      </c>
      <c r="O17" s="56">
        <f t="shared" si="7"/>
        <v>917</v>
      </c>
      <c r="P17" s="56">
        <f t="shared" si="7"/>
        <v>50571</v>
      </c>
      <c r="Q17" s="19"/>
      <c r="R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 t="shared" ref="H18:P18" si="8">IF(AND(H17&gt;=-3000,H17&lt;=1000), "Done", "")</f>
        <v/>
      </c>
      <c r="I18" s="62" t="str">
        <f t="shared" si="8"/>
        <v/>
      </c>
      <c r="J18" s="62" t="str">
        <f t="shared" si="8"/>
        <v/>
      </c>
      <c r="K18" s="62" t="str">
        <f t="shared" si="8"/>
        <v>Done</v>
      </c>
      <c r="L18" s="62" t="str">
        <f t="shared" si="8"/>
        <v/>
      </c>
      <c r="M18" s="62" t="str">
        <f t="shared" si="8"/>
        <v>Done</v>
      </c>
      <c r="N18" s="62" t="str">
        <f t="shared" si="8"/>
        <v>Done</v>
      </c>
      <c r="O18" s="62" t="str">
        <f t="shared" si="8"/>
        <v>Done</v>
      </c>
      <c r="P18" s="62" t="str">
        <f t="shared" si="8"/>
        <v/>
      </c>
      <c r="Q18" s="19"/>
      <c r="R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66"/>
      <c r="P19" s="66"/>
      <c r="Q19" s="8"/>
      <c r="R19" s="2"/>
    </row>
    <row r="20" ht="32.25" customHeight="1">
      <c r="A20" s="63"/>
      <c r="B20" s="64"/>
      <c r="C20" s="68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70"/>
      <c r="P20" s="70"/>
      <c r="Q20" s="8"/>
      <c r="R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4"/>
      <c r="O21" s="14"/>
      <c r="P21" s="15"/>
      <c r="Q21" s="19"/>
      <c r="R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21"/>
      <c r="P22" s="21"/>
      <c r="Q22" s="17"/>
      <c r="R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P23" si="9">H7</f>
        <v>Toàn</v>
      </c>
      <c r="I23" s="29" t="str">
        <f t="shared" si="9"/>
        <v>Trường + Thủy</v>
      </c>
      <c r="J23" s="29" t="str">
        <f t="shared" si="9"/>
        <v>Quân</v>
      </c>
      <c r="K23" s="29" t="str">
        <f t="shared" si="9"/>
        <v>Băng</v>
      </c>
      <c r="L23" s="29" t="str">
        <f t="shared" si="9"/>
        <v>Kiên</v>
      </c>
      <c r="M23" s="29" t="str">
        <f t="shared" si="9"/>
        <v>Bạn Kiên [3]</v>
      </c>
      <c r="N23" s="29" t="str">
        <f t="shared" si="9"/>
        <v>Tú</v>
      </c>
      <c r="O23" s="29" t="str">
        <f t="shared" si="9"/>
        <v>Tâm</v>
      </c>
      <c r="P23" s="29" t="str">
        <f t="shared" si="9"/>
        <v>Tiến</v>
      </c>
      <c r="Q23" s="80" t="s">
        <v>8</v>
      </c>
      <c r="R23" s="16"/>
    </row>
    <row r="24">
      <c r="A24" s="57"/>
      <c r="B24" s="82"/>
      <c r="C24" s="87">
        <v>180000.0</v>
      </c>
      <c r="D24" s="87" t="str">
        <f>I7</f>
        <v>Trường + Thủy</v>
      </c>
      <c r="E24" s="88"/>
      <c r="F24" s="84" t="b">
        <f t="shared" ref="F24:F27" si="12">C24=sum(H24:P24)</f>
        <v>1</v>
      </c>
      <c r="G24" s="33" t="s">
        <v>163</v>
      </c>
      <c r="H24" s="33">
        <f>$C$24/8</f>
        <v>22500</v>
      </c>
      <c r="I24" s="33">
        <f>$C$24/8*2</f>
        <v>45000</v>
      </c>
      <c r="J24" s="33">
        <f t="shared" ref="J24:L24" si="10">$C$24/8</f>
        <v>22500</v>
      </c>
      <c r="K24" s="33">
        <f t="shared" si="10"/>
        <v>22500</v>
      </c>
      <c r="L24" s="33">
        <f t="shared" si="10"/>
        <v>22500</v>
      </c>
      <c r="M24" s="33">
        <v>0.0</v>
      </c>
      <c r="N24" s="33">
        <f t="shared" ref="N24:O24" si="11">$C$24/8</f>
        <v>22500</v>
      </c>
      <c r="O24" s="33">
        <f t="shared" si="11"/>
        <v>22500</v>
      </c>
      <c r="P24" s="33">
        <v>0.0</v>
      </c>
      <c r="Q24" s="42">
        <f t="shared" ref="Q24:Q27" si="15">COUNTIF(H24:P24,"&lt;&gt;0")+1</f>
        <v>8</v>
      </c>
      <c r="R24" s="16"/>
    </row>
    <row r="25">
      <c r="A25" s="81"/>
      <c r="B25" s="82"/>
      <c r="C25" s="87">
        <f>340000/12*2</f>
        <v>56666.66667</v>
      </c>
      <c r="D25" s="87" t="str">
        <f>H7</f>
        <v>Toàn</v>
      </c>
      <c r="E25" s="88" t="s">
        <v>55</v>
      </c>
      <c r="F25" s="84" t="b">
        <f t="shared" si="12"/>
        <v>1</v>
      </c>
      <c r="G25" s="33" t="s">
        <v>166</v>
      </c>
      <c r="H25" s="33">
        <f t="shared" ref="H25:H27" si="16">$C25/8</f>
        <v>7083.333333</v>
      </c>
      <c r="I25" s="33">
        <f>$C$25/8*2</f>
        <v>14166.66667</v>
      </c>
      <c r="J25" s="33">
        <f t="shared" ref="J25:L25" si="13">$C$25/8</f>
        <v>7083.333333</v>
      </c>
      <c r="K25" s="33">
        <f t="shared" si="13"/>
        <v>7083.333333</v>
      </c>
      <c r="L25" s="33">
        <f t="shared" si="13"/>
        <v>7083.333333</v>
      </c>
      <c r="M25" s="33">
        <v>0.0</v>
      </c>
      <c r="N25" s="33">
        <f t="shared" ref="N25:O25" si="14">$C$25/8</f>
        <v>7083.333333</v>
      </c>
      <c r="O25" s="33">
        <f t="shared" si="14"/>
        <v>7083.333333</v>
      </c>
      <c r="P25" s="33">
        <v>0.0</v>
      </c>
      <c r="Q25" s="42">
        <f t="shared" si="15"/>
        <v>8</v>
      </c>
      <c r="R25" s="16"/>
    </row>
    <row r="26">
      <c r="A26" s="81"/>
      <c r="B26" s="82"/>
      <c r="C26" s="87">
        <f>8000*2</f>
        <v>16000</v>
      </c>
      <c r="D26" s="87" t="str">
        <f>L7</f>
        <v>Kiên</v>
      </c>
      <c r="E26" s="88" t="s">
        <v>170</v>
      </c>
      <c r="F26" s="84" t="b">
        <f t="shared" si="12"/>
        <v>1</v>
      </c>
      <c r="G26" s="33" t="s">
        <v>172</v>
      </c>
      <c r="H26" s="33">
        <f t="shared" si="16"/>
        <v>2000</v>
      </c>
      <c r="I26" s="33">
        <f t="shared" ref="I26:I27" si="19">$C26/8*2</f>
        <v>4000</v>
      </c>
      <c r="J26" s="33">
        <f t="shared" ref="J26:L26" si="17">$C26/8</f>
        <v>2000</v>
      </c>
      <c r="K26" s="33">
        <f t="shared" si="17"/>
        <v>2000</v>
      </c>
      <c r="L26" s="33">
        <f t="shared" si="17"/>
        <v>2000</v>
      </c>
      <c r="M26" s="33">
        <v>0.0</v>
      </c>
      <c r="N26" s="33">
        <f t="shared" ref="N26:O26" si="18">$C26/8</f>
        <v>2000</v>
      </c>
      <c r="O26" s="33">
        <f t="shared" si="18"/>
        <v>2000</v>
      </c>
      <c r="P26" s="33">
        <v>0.0</v>
      </c>
      <c r="Q26" s="42">
        <f t="shared" si="15"/>
        <v>8</v>
      </c>
      <c r="R26" s="16"/>
    </row>
    <row r="27">
      <c r="A27" s="81"/>
      <c r="B27" s="82"/>
      <c r="C27" s="87">
        <f>66000/6*4</f>
        <v>44000</v>
      </c>
      <c r="D27" s="87" t="str">
        <f>H23</f>
        <v>Toàn</v>
      </c>
      <c r="E27" s="88" t="s">
        <v>179</v>
      </c>
      <c r="F27" s="84" t="b">
        <f t="shared" si="12"/>
        <v>1</v>
      </c>
      <c r="G27" s="33" t="s">
        <v>181</v>
      </c>
      <c r="H27" s="33">
        <f t="shared" si="16"/>
        <v>5500</v>
      </c>
      <c r="I27" s="33">
        <f t="shared" si="19"/>
        <v>11000</v>
      </c>
      <c r="J27" s="33">
        <f t="shared" ref="J27:L27" si="20">$C27/8</f>
        <v>5500</v>
      </c>
      <c r="K27" s="33">
        <f t="shared" si="20"/>
        <v>5500</v>
      </c>
      <c r="L27" s="33">
        <f t="shared" si="20"/>
        <v>5500</v>
      </c>
      <c r="M27" s="33">
        <v>0.0</v>
      </c>
      <c r="N27" s="33">
        <f t="shared" ref="N27:O27" si="21">$C27/8</f>
        <v>5500</v>
      </c>
      <c r="O27" s="33">
        <f t="shared" si="21"/>
        <v>5500</v>
      </c>
      <c r="P27" s="33">
        <v>0.0</v>
      </c>
      <c r="Q27" s="42">
        <f t="shared" si="15"/>
        <v>8</v>
      </c>
      <c r="R27" s="16"/>
    </row>
    <row r="28">
      <c r="A28" s="81"/>
      <c r="B28" s="82"/>
      <c r="C28" s="82"/>
      <c r="D28" s="82"/>
      <c r="E28" s="83"/>
      <c r="F28" s="84"/>
      <c r="G28" s="32"/>
      <c r="H28" s="19"/>
      <c r="I28" s="19"/>
      <c r="J28" s="19"/>
      <c r="K28" s="19"/>
      <c r="L28" s="32"/>
      <c r="M28" s="32"/>
      <c r="N28" s="32"/>
      <c r="O28" s="32"/>
      <c r="P28" s="32"/>
      <c r="Q28" s="42"/>
      <c r="R28" s="16"/>
    </row>
    <row r="29">
      <c r="A29" s="81"/>
      <c r="B29" s="82"/>
      <c r="C29" s="87">
        <f>142500</f>
        <v>142500</v>
      </c>
      <c r="D29" s="87" t="str">
        <f>L7</f>
        <v>Kiên</v>
      </c>
      <c r="E29" s="109" t="str">
        <f t="shared" ref="E29:E30" si="23">C50</f>
        <v>[1]</v>
      </c>
      <c r="F29" s="84" t="b">
        <f t="shared" ref="F29:F31" si="24">C29=sum(H29:P29)</f>
        <v>1</v>
      </c>
      <c r="G29" s="33" t="s">
        <v>184</v>
      </c>
      <c r="H29" s="33">
        <f t="shared" ref="H29:I29" si="22">$C$29/7</f>
        <v>20357.14286</v>
      </c>
      <c r="I29" s="33">
        <f t="shared" si="22"/>
        <v>20357.14286</v>
      </c>
      <c r="J29" s="33">
        <v>0.0</v>
      </c>
      <c r="K29" s="33">
        <v>0.0</v>
      </c>
      <c r="L29" s="33">
        <f>$C$29/7</f>
        <v>20357.14286</v>
      </c>
      <c r="M29" s="33">
        <f>$C$29/7*3</f>
        <v>61071.42857</v>
      </c>
      <c r="N29" s="33">
        <f>$C$29/7</f>
        <v>20357.14286</v>
      </c>
      <c r="O29" s="33">
        <v>0.0</v>
      </c>
      <c r="P29" s="33">
        <v>0.0</v>
      </c>
      <c r="Q29" s="42">
        <f t="shared" ref="Q29:Q31" si="26">COUNTIF(H29:P29,"&lt;&gt;0")+3</f>
        <v>8</v>
      </c>
      <c r="R29" s="16"/>
    </row>
    <row r="30">
      <c r="A30" s="81"/>
      <c r="B30" s="82"/>
      <c r="C30" s="87">
        <f>68000+30000</f>
        <v>98000</v>
      </c>
      <c r="D30" s="87" t="str">
        <f>H7</f>
        <v>Toàn</v>
      </c>
      <c r="E30" s="109" t="str">
        <f t="shared" si="23"/>
        <v/>
      </c>
      <c r="F30" s="84" t="b">
        <f t="shared" si="24"/>
        <v>1</v>
      </c>
      <c r="G30" s="33" t="s">
        <v>185</v>
      </c>
      <c r="H30" s="33">
        <f t="shared" ref="H30:I30" si="25">10000+68000/7</f>
        <v>19714.28571</v>
      </c>
      <c r="I30" s="33">
        <f t="shared" si="25"/>
        <v>19714.28571</v>
      </c>
      <c r="J30" s="33">
        <v>0.0</v>
      </c>
      <c r="K30" s="33">
        <v>0.0</v>
      </c>
      <c r="L30" s="33">
        <f>68000/7</f>
        <v>9714.285714</v>
      </c>
      <c r="M30" s="33">
        <f>68000/7*3</f>
        <v>29142.85714</v>
      </c>
      <c r="N30" s="33">
        <f>10000+68000/7</f>
        <v>19714.28571</v>
      </c>
      <c r="O30" s="33">
        <v>0.0</v>
      </c>
      <c r="P30" s="33">
        <v>0.0</v>
      </c>
      <c r="Q30" s="42">
        <f t="shared" si="26"/>
        <v>8</v>
      </c>
      <c r="R30" s="16"/>
    </row>
    <row r="31">
      <c r="A31" s="81"/>
      <c r="B31" s="82"/>
      <c r="C31" s="87">
        <f>340000/12*6</f>
        <v>170000</v>
      </c>
      <c r="D31" s="87" t="str">
        <f>H23</f>
        <v>Toàn</v>
      </c>
      <c r="E31" s="88" t="s">
        <v>55</v>
      </c>
      <c r="F31" s="84" t="b">
        <f t="shared" si="24"/>
        <v>1</v>
      </c>
      <c r="G31" s="33" t="s">
        <v>188</v>
      </c>
      <c r="H31" s="33">
        <f t="shared" ref="H31:I31" si="27">$C$31/7</f>
        <v>24285.71429</v>
      </c>
      <c r="I31" s="33">
        <f t="shared" si="27"/>
        <v>24285.71429</v>
      </c>
      <c r="J31" s="33">
        <v>0.0</v>
      </c>
      <c r="K31" s="33">
        <v>0.0</v>
      </c>
      <c r="L31" s="33">
        <f>$C$31/7</f>
        <v>24285.71429</v>
      </c>
      <c r="M31" s="33">
        <f>$C$31/7*3</f>
        <v>72857.14286</v>
      </c>
      <c r="N31" s="33">
        <f>$C$31/7</f>
        <v>24285.71429</v>
      </c>
      <c r="O31" s="33">
        <v>0.0</v>
      </c>
      <c r="P31" s="33">
        <v>0.0</v>
      </c>
      <c r="Q31" s="42">
        <f t="shared" si="26"/>
        <v>8</v>
      </c>
      <c r="R31" s="16"/>
    </row>
    <row r="32">
      <c r="A32" s="81"/>
      <c r="B32" s="82"/>
      <c r="C32" s="82"/>
      <c r="D32" s="82"/>
      <c r="E32" s="110"/>
      <c r="F32" s="84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42"/>
      <c r="R32" s="16"/>
    </row>
    <row r="33">
      <c r="A33" s="81"/>
      <c r="B33" s="82"/>
      <c r="C33" s="87">
        <v>64000.0</v>
      </c>
      <c r="D33" s="87" t="str">
        <f>I7</f>
        <v>Trường + Thủy</v>
      </c>
      <c r="E33" s="109"/>
      <c r="F33" s="84" t="b">
        <f>C33=sum(H33:P33)</f>
        <v>1</v>
      </c>
      <c r="G33" s="33" t="s">
        <v>189</v>
      </c>
      <c r="H33" s="33">
        <f t="shared" ref="H33:J33" si="28">$C$33/4</f>
        <v>16000</v>
      </c>
      <c r="I33" s="33">
        <f t="shared" si="28"/>
        <v>16000</v>
      </c>
      <c r="J33" s="33">
        <f t="shared" si="28"/>
        <v>16000</v>
      </c>
      <c r="K33" s="33">
        <v>0.0</v>
      </c>
      <c r="L33" s="33">
        <f>$C$33/4</f>
        <v>16000</v>
      </c>
      <c r="M33" s="33">
        <v>0.0</v>
      </c>
      <c r="N33" s="33">
        <v>0.0</v>
      </c>
      <c r="O33" s="33">
        <v>0.0</v>
      </c>
      <c r="P33" s="33">
        <v>0.0</v>
      </c>
      <c r="Q33" s="42">
        <f>COUNTIF(H33:P33,"&lt;&gt;0")</f>
        <v>4</v>
      </c>
      <c r="R33" s="16"/>
    </row>
    <row r="34">
      <c r="A34" s="81"/>
      <c r="B34" s="82"/>
      <c r="C34" s="82"/>
      <c r="D34" s="82"/>
      <c r="E34" s="110"/>
      <c r="F34" s="84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2"/>
      <c r="R34" s="16"/>
    </row>
    <row r="35">
      <c r="A35" s="81"/>
      <c r="B35" s="82"/>
      <c r="C35" s="87">
        <v>160000.0</v>
      </c>
      <c r="D35" s="87" t="str">
        <f>I7</f>
        <v>Trường + Thủy</v>
      </c>
      <c r="E35" s="109"/>
      <c r="F35" s="84" t="b">
        <f t="shared" ref="F35:F36" si="30">C35=sum(H35:P35)</f>
        <v>1</v>
      </c>
      <c r="G35" s="33" t="s">
        <v>192</v>
      </c>
      <c r="H35" s="33">
        <f t="shared" ref="H35:J35" si="29">$C$35/$C$10</f>
        <v>40000</v>
      </c>
      <c r="I35" s="33">
        <f t="shared" si="29"/>
        <v>40000</v>
      </c>
      <c r="J35" s="33">
        <f t="shared" si="29"/>
        <v>40000</v>
      </c>
      <c r="K35" s="33">
        <v>0.0</v>
      </c>
      <c r="L35" s="33">
        <v>0.0</v>
      </c>
      <c r="M35" s="33">
        <v>0.0</v>
      </c>
      <c r="N35" s="33">
        <f>$C$35/$C$10</f>
        <v>40000</v>
      </c>
      <c r="O35" s="33">
        <v>0.0</v>
      </c>
      <c r="P35" s="33">
        <v>0.0</v>
      </c>
      <c r="Q35" s="42">
        <f t="shared" ref="Q35:Q36" si="32">COUNTIF(H35:P35,"&lt;&gt;0")</f>
        <v>4</v>
      </c>
      <c r="R35" s="16"/>
    </row>
    <row r="36">
      <c r="A36" s="81"/>
      <c r="B36" s="82"/>
      <c r="C36" s="87">
        <f>340000/12*3</f>
        <v>85000</v>
      </c>
      <c r="D36" s="87" t="str">
        <f>H7</f>
        <v>Toàn</v>
      </c>
      <c r="E36" s="88" t="s">
        <v>55</v>
      </c>
      <c r="F36" s="84" t="b">
        <f t="shared" si="30"/>
        <v>1</v>
      </c>
      <c r="G36" s="33" t="s">
        <v>194</v>
      </c>
      <c r="H36" s="33">
        <f t="shared" ref="H36:J36" si="31">$C$36/$C$10</f>
        <v>21250</v>
      </c>
      <c r="I36" s="33">
        <f t="shared" si="31"/>
        <v>21250</v>
      </c>
      <c r="J36" s="33">
        <f t="shared" si="31"/>
        <v>21250</v>
      </c>
      <c r="K36" s="33">
        <v>0.0</v>
      </c>
      <c r="L36" s="33">
        <v>0.0</v>
      </c>
      <c r="M36" s="33">
        <v>0.0</v>
      </c>
      <c r="N36" s="33">
        <f>$C$36/$C$10</f>
        <v>21250</v>
      </c>
      <c r="O36" s="33">
        <v>0.0</v>
      </c>
      <c r="P36" s="33">
        <v>0.0</v>
      </c>
      <c r="Q36" s="42">
        <f t="shared" si="32"/>
        <v>4</v>
      </c>
      <c r="R36" s="16"/>
    </row>
    <row r="37" ht="6.0" customHeight="1">
      <c r="A37" s="81"/>
      <c r="B37" s="82"/>
      <c r="C37" s="82"/>
      <c r="D37" s="82"/>
      <c r="E37" s="83"/>
      <c r="F37" s="84"/>
      <c r="G37" s="32"/>
      <c r="H37" s="19"/>
      <c r="I37" s="19"/>
      <c r="J37" s="19"/>
      <c r="K37" s="32"/>
      <c r="L37" s="19"/>
      <c r="M37" s="32"/>
      <c r="N37" s="32"/>
      <c r="O37" s="32"/>
      <c r="P37" s="32"/>
      <c r="Q37" s="19"/>
      <c r="R37" s="16"/>
    </row>
    <row r="38" ht="18.0" customHeight="1">
      <c r="A38" s="81"/>
      <c r="B38" s="82"/>
      <c r="C38" s="82"/>
      <c r="D38" s="82"/>
      <c r="E38" s="83"/>
      <c r="F38" s="84"/>
      <c r="G38" s="73" t="s">
        <v>68</v>
      </c>
      <c r="H38" s="14"/>
      <c r="I38" s="14"/>
      <c r="J38" s="14"/>
      <c r="K38" s="14"/>
      <c r="L38" s="14"/>
      <c r="M38" s="14"/>
      <c r="N38" s="14"/>
      <c r="O38" s="14"/>
      <c r="P38" s="15"/>
      <c r="Q38" s="19"/>
      <c r="R38" s="16"/>
    </row>
    <row r="39" ht="3.75" customHeight="1">
      <c r="A39" s="81"/>
      <c r="B39" s="82"/>
      <c r="C39" s="82"/>
      <c r="D39" s="82"/>
      <c r="E39" s="83"/>
      <c r="F39" s="84"/>
      <c r="G39" s="32"/>
      <c r="H39" s="19"/>
      <c r="I39" s="19"/>
      <c r="J39" s="19"/>
      <c r="K39" s="32"/>
      <c r="L39" s="19"/>
      <c r="M39" s="32"/>
      <c r="N39" s="32"/>
      <c r="O39" s="32"/>
      <c r="P39" s="32"/>
      <c r="Q39" s="19"/>
      <c r="R39" s="16"/>
    </row>
    <row r="40">
      <c r="A40" s="81"/>
      <c r="B40" s="82"/>
      <c r="C40" s="82"/>
      <c r="D40" s="82"/>
      <c r="E40" s="83"/>
      <c r="F40" s="84" t="b">
        <f>C40=sum(H40:P40)-'0706'!J17-'0706'!K17</f>
        <v>1</v>
      </c>
      <c r="G40" s="33" t="s">
        <v>196</v>
      </c>
      <c r="H40" s="33">
        <f>-'0706'!H17</f>
        <v>46857</v>
      </c>
      <c r="I40" s="33">
        <f>-'0706'!I17</f>
        <v>-91714</v>
      </c>
      <c r="J40" s="33">
        <v>0.0</v>
      </c>
      <c r="K40" s="33">
        <v>0.0</v>
      </c>
      <c r="L40" s="33">
        <f>-'0706'!L17</f>
        <v>5857</v>
      </c>
      <c r="M40" s="33">
        <v>0.0</v>
      </c>
      <c r="N40" s="33">
        <f>-'0706'!M17</f>
        <v>89857</v>
      </c>
      <c r="O40" s="33">
        <v>0.0</v>
      </c>
      <c r="P40" s="33">
        <f>-'0706'!N17</f>
        <v>-50571</v>
      </c>
      <c r="Q40" s="42">
        <f t="shared" ref="Q40:Q47" si="33">COUNTIF(H40:P40,"&lt;&gt;0")</f>
        <v>5</v>
      </c>
      <c r="R40" s="16"/>
    </row>
    <row r="41">
      <c r="A41" s="2"/>
      <c r="B41" s="8"/>
      <c r="C41" s="8"/>
      <c r="D41" s="8"/>
      <c r="E41" s="8"/>
      <c r="F41" s="84" t="b">
        <f t="shared" ref="F41:F47" si="34">C41=sum(H41:P41)</f>
        <v>1</v>
      </c>
      <c r="G41" s="33" t="s">
        <v>198</v>
      </c>
      <c r="H41" s="33">
        <v>15000.0</v>
      </c>
      <c r="I41" s="33">
        <v>0.0</v>
      </c>
      <c r="J41" s="33">
        <v>0.0</v>
      </c>
      <c r="K41" s="33">
        <v>0.0</v>
      </c>
      <c r="L41" s="33">
        <v>0.0</v>
      </c>
      <c r="M41" s="33">
        <v>0.0</v>
      </c>
      <c r="N41" s="33">
        <v>-15000.0</v>
      </c>
      <c r="O41" s="33">
        <v>0.0</v>
      </c>
      <c r="P41" s="33">
        <v>0.0</v>
      </c>
      <c r="Q41" s="42">
        <f t="shared" si="33"/>
        <v>2</v>
      </c>
      <c r="R41" s="2"/>
    </row>
    <row r="42">
      <c r="A42" s="2"/>
      <c r="B42" s="8"/>
      <c r="C42" s="8"/>
      <c r="D42" s="8"/>
      <c r="E42" s="8"/>
      <c r="F42" s="84" t="b">
        <f t="shared" si="34"/>
        <v>1</v>
      </c>
      <c r="G42" s="33" t="s">
        <v>199</v>
      </c>
      <c r="H42" s="33">
        <v>0.0</v>
      </c>
      <c r="I42" s="33">
        <v>50000.0</v>
      </c>
      <c r="J42" s="33">
        <v>0.0</v>
      </c>
      <c r="K42" s="33">
        <v>0.0</v>
      </c>
      <c r="L42" s="33">
        <v>0.0</v>
      </c>
      <c r="M42" s="33">
        <v>0.0</v>
      </c>
      <c r="N42" s="33">
        <v>-50000.0</v>
      </c>
      <c r="O42" s="33">
        <v>0.0</v>
      </c>
      <c r="P42" s="33">
        <v>0.0</v>
      </c>
      <c r="Q42" s="42">
        <f t="shared" si="33"/>
        <v>2</v>
      </c>
      <c r="R42" s="2"/>
    </row>
    <row r="43">
      <c r="A43" s="2"/>
      <c r="B43" s="8"/>
      <c r="C43" s="8"/>
      <c r="D43" s="8"/>
      <c r="E43" s="8"/>
      <c r="F43" s="84" t="b">
        <f t="shared" si="34"/>
        <v>1</v>
      </c>
      <c r="G43" s="33" t="s">
        <v>201</v>
      </c>
      <c r="H43" s="33">
        <v>-45000.0</v>
      </c>
      <c r="I43" s="33">
        <f>-H43</f>
        <v>45000</v>
      </c>
      <c r="J43" s="33">
        <v>0.0</v>
      </c>
      <c r="K43" s="33">
        <v>0.0</v>
      </c>
      <c r="L43" s="33">
        <v>0.0</v>
      </c>
      <c r="M43" s="33">
        <v>0.0</v>
      </c>
      <c r="N43" s="33">
        <v>0.0</v>
      </c>
      <c r="O43" s="33">
        <v>0.0</v>
      </c>
      <c r="P43" s="33">
        <v>0.0</v>
      </c>
      <c r="Q43" s="42">
        <f t="shared" si="33"/>
        <v>2</v>
      </c>
      <c r="R43" s="2"/>
    </row>
    <row r="44">
      <c r="A44" s="2"/>
      <c r="B44" s="8"/>
      <c r="C44" s="8"/>
      <c r="D44" s="8"/>
      <c r="E44" s="8"/>
      <c r="F44" s="84" t="b">
        <f t="shared" si="34"/>
        <v>1</v>
      </c>
      <c r="G44" s="33" t="s">
        <v>202</v>
      </c>
      <c r="H44" s="33">
        <v>0.0</v>
      </c>
      <c r="I44" s="33">
        <v>25000.0</v>
      </c>
      <c r="J44" s="33">
        <v>-25000.0</v>
      </c>
      <c r="K44" s="33">
        <v>0.0</v>
      </c>
      <c r="L44" s="33">
        <v>0.0</v>
      </c>
      <c r="M44" s="33">
        <v>0.0</v>
      </c>
      <c r="N44" s="33">
        <v>0.0</v>
      </c>
      <c r="O44" s="33">
        <v>0.0</v>
      </c>
      <c r="P44" s="33">
        <v>0.0</v>
      </c>
      <c r="Q44" s="42">
        <f t="shared" si="33"/>
        <v>2</v>
      </c>
      <c r="R44" s="2"/>
    </row>
    <row r="45">
      <c r="A45" s="2"/>
      <c r="B45" s="8"/>
      <c r="C45" s="8"/>
      <c r="D45" s="8"/>
      <c r="E45" s="8"/>
      <c r="F45" s="84" t="b">
        <f t="shared" si="34"/>
        <v>1</v>
      </c>
      <c r="G45" s="33" t="s">
        <v>203</v>
      </c>
      <c r="H45" s="33">
        <v>0.0</v>
      </c>
      <c r="I45" s="33">
        <v>-40000.0</v>
      </c>
      <c r="J45" s="33">
        <f>-I45</f>
        <v>40000</v>
      </c>
      <c r="K45" s="33">
        <v>0.0</v>
      </c>
      <c r="L45" s="33">
        <v>0.0</v>
      </c>
      <c r="M45" s="33">
        <v>0.0</v>
      </c>
      <c r="N45" s="33">
        <v>0.0</v>
      </c>
      <c r="O45" s="33">
        <v>0.0</v>
      </c>
      <c r="P45" s="33">
        <v>0.0</v>
      </c>
      <c r="Q45" s="42">
        <f t="shared" si="33"/>
        <v>2</v>
      </c>
      <c r="R45" s="2"/>
    </row>
    <row r="46">
      <c r="A46" s="2"/>
      <c r="B46" s="8"/>
      <c r="C46" s="8"/>
      <c r="D46" s="8"/>
      <c r="E46" s="8"/>
      <c r="F46" s="84" t="b">
        <f t="shared" si="34"/>
        <v>1</v>
      </c>
      <c r="G46" s="33" t="s">
        <v>205</v>
      </c>
      <c r="H46" s="33"/>
      <c r="I46" s="33">
        <v>-60000.0</v>
      </c>
      <c r="J46" s="33">
        <v>35000.0</v>
      </c>
      <c r="K46" s="33">
        <v>0.0</v>
      </c>
      <c r="L46" s="33">
        <v>0.0</v>
      </c>
      <c r="M46" s="33">
        <v>0.0</v>
      </c>
      <c r="N46" s="33">
        <v>25000.0</v>
      </c>
      <c r="O46" s="33">
        <v>0.0</v>
      </c>
      <c r="P46" s="33">
        <v>0.0</v>
      </c>
      <c r="Q46" s="42">
        <f t="shared" si="33"/>
        <v>3</v>
      </c>
      <c r="R46" s="2"/>
    </row>
    <row r="47">
      <c r="A47" s="2"/>
      <c r="B47" s="8"/>
      <c r="C47" s="8"/>
      <c r="D47" s="8"/>
      <c r="E47" s="8"/>
      <c r="F47" s="84" t="b">
        <f t="shared" si="34"/>
        <v>1</v>
      </c>
      <c r="G47" s="33" t="s">
        <v>206</v>
      </c>
      <c r="H47" s="33">
        <v>19000.0</v>
      </c>
      <c r="I47" s="33">
        <v>0.0</v>
      </c>
      <c r="J47" s="33">
        <f>-H47</f>
        <v>-19000</v>
      </c>
      <c r="K47" s="33">
        <v>0.0</v>
      </c>
      <c r="L47" s="33">
        <v>0.0</v>
      </c>
      <c r="M47" s="33">
        <v>0.0</v>
      </c>
      <c r="N47" s="33">
        <v>0.0</v>
      </c>
      <c r="O47" s="33">
        <v>0.0</v>
      </c>
      <c r="P47" s="33">
        <v>0.0</v>
      </c>
      <c r="Q47" s="42">
        <f t="shared" si="33"/>
        <v>2</v>
      </c>
      <c r="R47" s="2"/>
    </row>
    <row r="48" ht="15.0" customHeight="1">
      <c r="A48" s="2"/>
      <c r="B48" s="8"/>
      <c r="C48" s="90"/>
      <c r="D48" s="8"/>
      <c r="E48" s="91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2"/>
    </row>
    <row r="49" ht="15.0" customHeight="1">
      <c r="A49" s="2"/>
      <c r="B49" s="8"/>
      <c r="C49" s="93" t="s">
        <v>81</v>
      </c>
      <c r="D49" s="8"/>
      <c r="E49" s="91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2"/>
    </row>
    <row r="50" ht="12.75" customHeight="1">
      <c r="A50" s="16"/>
      <c r="B50" s="19"/>
      <c r="C50" s="111" t="s">
        <v>210</v>
      </c>
      <c r="D50" s="112" t="s">
        <v>211</v>
      </c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4"/>
      <c r="Q50" s="19"/>
      <c r="R50" s="16"/>
    </row>
    <row r="51" ht="12.75" customHeight="1">
      <c r="A51" s="16"/>
      <c r="B51" s="19"/>
      <c r="C51" s="111"/>
      <c r="D51" s="32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15"/>
      <c r="Q51" s="19"/>
      <c r="R51" s="16"/>
    </row>
    <row r="52" ht="12.75" customHeight="1">
      <c r="A52" s="16"/>
      <c r="B52" s="19"/>
      <c r="C52" s="116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8"/>
      <c r="Q52" s="19"/>
      <c r="R52" s="16"/>
    </row>
    <row r="53" ht="19.5" customHeight="1">
      <c r="A53" s="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mergeCells count="10">
    <mergeCell ref="C21:E21"/>
    <mergeCell ref="G21:P21"/>
    <mergeCell ref="G38:P38"/>
    <mergeCell ref="C3:D3"/>
    <mergeCell ref="G5:P5"/>
    <mergeCell ref="D7:E7"/>
    <mergeCell ref="D8:E8"/>
    <mergeCell ref="D9:E9"/>
    <mergeCell ref="D10:E10"/>
    <mergeCell ref="D12:E12"/>
  </mergeCells>
  <conditionalFormatting sqref="A12:B13 F12:R13">
    <cfRule type="containsText" dxfId="0" priority="1" operator="containsText" text="Chuyển tiền">
      <formula>NOT(ISERROR(SEARCH(("Chuyển tiền"),(A12))))</formula>
    </cfRule>
  </conditionalFormatting>
  <conditionalFormatting sqref="A12:B13 F12:R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11.75"/>
    <col customWidth="1" min="5" max="5" width="12.0"/>
    <col customWidth="1" min="6" max="6" width="9.88"/>
    <col customWidth="1" min="7" max="7" width="23.25"/>
    <col customWidth="1" min="9" max="9" width="15.38"/>
    <col customWidth="1" min="12" max="12" width="16.25"/>
    <col customWidth="1" min="13" max="13" width="18.13"/>
    <col customWidth="1" min="14" max="14" width="16.38"/>
    <col customWidth="1" min="15" max="15" width="11.75"/>
    <col customWidth="1" min="16" max="16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5"/>
      <c r="N2" s="5"/>
      <c r="O2" s="5"/>
      <c r="P2" s="2"/>
    </row>
    <row r="3" ht="16.5" customHeight="1">
      <c r="A3" s="2"/>
      <c r="B3" s="4"/>
      <c r="C3" s="6" t="s">
        <v>164</v>
      </c>
      <c r="D3" s="7"/>
      <c r="E3" s="8"/>
      <c r="F3" s="8"/>
      <c r="G3" s="9" t="s">
        <v>3</v>
      </c>
      <c r="H3" s="10">
        <v>1.0</v>
      </c>
      <c r="I3" s="10">
        <v>2.0</v>
      </c>
      <c r="J3" s="10">
        <v>3.0</v>
      </c>
      <c r="K3" s="10">
        <v>4.0</v>
      </c>
      <c r="L3" s="10">
        <v>7.0</v>
      </c>
      <c r="M3" s="10">
        <v>8.0</v>
      </c>
      <c r="N3" s="10">
        <v>9.0</v>
      </c>
      <c r="O3" s="5"/>
      <c r="P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8"/>
      <c r="P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5"/>
      <c r="O5" s="8"/>
      <c r="P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19"/>
      <c r="P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12</v>
      </c>
      <c r="J7" s="29" t="s">
        <v>21</v>
      </c>
      <c r="K7" s="29" t="s">
        <v>143</v>
      </c>
      <c r="L7" s="29" t="s">
        <v>15</v>
      </c>
      <c r="M7" s="29" t="s">
        <v>14</v>
      </c>
      <c r="N7" s="29" t="s">
        <v>107</v>
      </c>
      <c r="O7" s="19"/>
      <c r="P7" s="16"/>
    </row>
    <row r="8">
      <c r="A8" s="16"/>
      <c r="B8" s="19"/>
      <c r="C8" s="30">
        <v>7.0</v>
      </c>
      <c r="D8" s="31" t="s">
        <v>171</v>
      </c>
      <c r="E8" s="15"/>
      <c r="F8" s="32"/>
      <c r="G8" s="33" t="str">
        <f>C21</f>
        <v>Tổng ứng trước</v>
      </c>
      <c r="H8" s="34">
        <f t="shared" ref="H8:N8" si="1">round(sumif($D:$D,H7,$C:$C),0)</f>
        <v>305000</v>
      </c>
      <c r="I8" s="34">
        <f t="shared" si="1"/>
        <v>240000</v>
      </c>
      <c r="J8" s="34">
        <f t="shared" si="1"/>
        <v>0</v>
      </c>
      <c r="K8" s="34">
        <f t="shared" si="1"/>
        <v>0</v>
      </c>
      <c r="L8" s="34">
        <f t="shared" si="1"/>
        <v>84000</v>
      </c>
      <c r="M8" s="34">
        <f t="shared" si="1"/>
        <v>0</v>
      </c>
      <c r="N8" s="34">
        <f t="shared" si="1"/>
        <v>0</v>
      </c>
      <c r="O8" s="19"/>
      <c r="P8" s="16"/>
    </row>
    <row r="9">
      <c r="A9" s="16"/>
      <c r="B9" s="19"/>
      <c r="C9" s="30">
        <f>L3</f>
        <v>7</v>
      </c>
      <c r="D9" s="31" t="s">
        <v>178</v>
      </c>
      <c r="E9" s="15"/>
      <c r="F9" s="32"/>
      <c r="G9" s="33" t="str">
        <f>G21</f>
        <v>Tổng chi phí</v>
      </c>
      <c r="H9" s="34">
        <f t="shared" ref="H9:N9" si="2">round(sum(H24:H29),0)</f>
        <v>89857</v>
      </c>
      <c r="I9" s="34">
        <f t="shared" si="2"/>
        <v>148286</v>
      </c>
      <c r="J9" s="34">
        <f t="shared" si="2"/>
        <v>89857</v>
      </c>
      <c r="K9" s="34">
        <f t="shared" si="2"/>
        <v>89857</v>
      </c>
      <c r="L9" s="34">
        <f t="shared" si="2"/>
        <v>89857</v>
      </c>
      <c r="M9" s="34">
        <f t="shared" si="2"/>
        <v>89857</v>
      </c>
      <c r="N9" s="34">
        <f t="shared" si="2"/>
        <v>31429</v>
      </c>
      <c r="O9" s="19"/>
      <c r="P9" s="16"/>
    </row>
    <row r="10">
      <c r="A10" s="16"/>
      <c r="B10" s="19"/>
      <c r="C10" s="35"/>
      <c r="D10" s="35"/>
      <c r="F10" s="36"/>
      <c r="G10" s="37" t="str">
        <f>G31</f>
        <v>Bù trừ nợ đợt trước</v>
      </c>
      <c r="H10" s="38">
        <f t="shared" ref="H10:N10" si="3">Sum(H33)</f>
        <v>82000</v>
      </c>
      <c r="I10" s="38">
        <f t="shared" si="3"/>
        <v>0</v>
      </c>
      <c r="J10" s="38">
        <f t="shared" si="3"/>
        <v>0</v>
      </c>
      <c r="K10" s="38">
        <f t="shared" si="3"/>
        <v>0</v>
      </c>
      <c r="L10" s="38">
        <f t="shared" si="3"/>
        <v>0</v>
      </c>
      <c r="M10" s="38">
        <f t="shared" si="3"/>
        <v>0</v>
      </c>
      <c r="N10" s="38">
        <f t="shared" si="3"/>
        <v>-82000</v>
      </c>
      <c r="O10" s="19"/>
      <c r="P10" s="16"/>
    </row>
    <row r="11">
      <c r="A11" s="16"/>
      <c r="B11" s="19"/>
      <c r="F11" s="36"/>
      <c r="G11" s="39" t="s">
        <v>36</v>
      </c>
      <c r="H11" s="40">
        <f t="shared" ref="H11:N11" si="4">H8-H9-H10</f>
        <v>133143</v>
      </c>
      <c r="I11" s="40">
        <f t="shared" si="4"/>
        <v>91714</v>
      </c>
      <c r="J11" s="40">
        <f t="shared" si="4"/>
        <v>-89857</v>
      </c>
      <c r="K11" s="40">
        <f t="shared" si="4"/>
        <v>-89857</v>
      </c>
      <c r="L11" s="40">
        <f t="shared" si="4"/>
        <v>-5857</v>
      </c>
      <c r="M11" s="40">
        <f t="shared" si="4"/>
        <v>-89857</v>
      </c>
      <c r="N11" s="40">
        <f t="shared" si="4"/>
        <v>50571</v>
      </c>
      <c r="O11" s="19"/>
      <c r="P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2"/>
      <c r="P12" s="41"/>
    </row>
    <row r="13">
      <c r="A13" s="41"/>
      <c r="B13" s="42"/>
      <c r="F13" s="42"/>
      <c r="G13" s="46" t="s">
        <v>38</v>
      </c>
      <c r="H13" s="47" t="str">
        <f t="shared" ref="H13:N13" si="5">if(H11&lt;0,"Chuyển tiền","Nhận tiền")</f>
        <v>Nhận tiền</v>
      </c>
      <c r="I13" s="47" t="str">
        <f t="shared" si="5"/>
        <v>Nhận tiền</v>
      </c>
      <c r="J13" s="47" t="str">
        <f t="shared" si="5"/>
        <v>Chuyển tiền</v>
      </c>
      <c r="K13" s="47" t="str">
        <f t="shared" si="5"/>
        <v>Chuyển tiền</v>
      </c>
      <c r="L13" s="47" t="str">
        <f t="shared" si="5"/>
        <v>Chuyển tiền</v>
      </c>
      <c r="M13" s="47" t="str">
        <f t="shared" si="5"/>
        <v>Chuyển tiền</v>
      </c>
      <c r="N13" s="47" t="str">
        <f t="shared" si="5"/>
        <v>Nhận tiền</v>
      </c>
      <c r="O13" s="42"/>
      <c r="P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49"/>
      <c r="P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-sum(I15:N15)</f>
        <v>-180000</v>
      </c>
      <c r="I15" s="55"/>
      <c r="J15" s="55">
        <v>90000.0</v>
      </c>
      <c r="K15" s="55">
        <v>90000.0</v>
      </c>
      <c r="L15" s="55"/>
      <c r="M15" s="55"/>
      <c r="N15" s="55"/>
      <c r="O15" s="49"/>
      <c r="P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6"/>
    </row>
    <row r="17">
      <c r="A17" s="16"/>
      <c r="B17" s="19"/>
      <c r="C17" s="50"/>
      <c r="D17" s="50"/>
      <c r="E17" s="19"/>
      <c r="F17" s="19"/>
      <c r="G17" s="51" t="s">
        <v>147</v>
      </c>
      <c r="H17" s="56">
        <f t="shared" ref="H17:N17" si="6">H11+H15</f>
        <v>-46857</v>
      </c>
      <c r="I17" s="56">
        <f t="shared" si="6"/>
        <v>91714</v>
      </c>
      <c r="J17" s="56">
        <f t="shared" si="6"/>
        <v>143</v>
      </c>
      <c r="K17" s="56">
        <f t="shared" si="6"/>
        <v>143</v>
      </c>
      <c r="L17" s="56">
        <f t="shared" si="6"/>
        <v>-5857</v>
      </c>
      <c r="M17" s="56">
        <f t="shared" si="6"/>
        <v>-89857</v>
      </c>
      <c r="N17" s="56">
        <f t="shared" si="6"/>
        <v>50571</v>
      </c>
      <c r="O17" s="19"/>
      <c r="P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>IF(AND(H17&gt;=-3000,H17&lt;=1000), "Done", "")</f>
        <v/>
      </c>
      <c r="I18" s="62" t="s">
        <v>193</v>
      </c>
      <c r="J18" s="62" t="str">
        <f t="shared" ref="J18:K18" si="7">IF(AND(J17&gt;=-3000,J17&lt;=1000), "Done", "")</f>
        <v>Done</v>
      </c>
      <c r="K18" s="62" t="str">
        <f t="shared" si="7"/>
        <v>Done</v>
      </c>
      <c r="L18" s="62" t="s">
        <v>193</v>
      </c>
      <c r="M18" s="62" t="s">
        <v>193</v>
      </c>
      <c r="N18" s="62" t="s">
        <v>193</v>
      </c>
      <c r="O18" s="19"/>
      <c r="P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8"/>
      <c r="P19" s="2"/>
    </row>
    <row r="20" ht="32.25" customHeight="1">
      <c r="A20" s="63"/>
      <c r="B20" s="64"/>
      <c r="C20" s="68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8"/>
      <c r="P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5"/>
      <c r="O21" s="19"/>
      <c r="P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17"/>
      <c r="P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N23" si="8">H7</f>
        <v>Toàn</v>
      </c>
      <c r="I23" s="29" t="str">
        <f t="shared" si="8"/>
        <v>Trường + Thủy</v>
      </c>
      <c r="J23" s="29" t="str">
        <f t="shared" si="8"/>
        <v>Quân</v>
      </c>
      <c r="K23" s="29" t="str">
        <f t="shared" si="8"/>
        <v>Băng</v>
      </c>
      <c r="L23" s="29" t="str">
        <f t="shared" si="8"/>
        <v>Kiên</v>
      </c>
      <c r="M23" s="29" t="str">
        <f t="shared" si="8"/>
        <v>Tú</v>
      </c>
      <c r="N23" s="29" t="str">
        <f t="shared" si="8"/>
        <v>Tiến</v>
      </c>
      <c r="O23" s="80" t="s">
        <v>8</v>
      </c>
      <c r="P23" s="16"/>
    </row>
    <row r="24">
      <c r="A24" s="57"/>
      <c r="B24" s="82"/>
      <c r="C24" s="87">
        <v>240000.0</v>
      </c>
      <c r="D24" s="87" t="str">
        <f>I7</f>
        <v>Trường + Thủy</v>
      </c>
      <c r="E24" s="88"/>
      <c r="F24" s="84" t="b">
        <f t="shared" ref="F24:F27" si="10">C24=sum(H24:N24)</f>
        <v>1</v>
      </c>
      <c r="G24" s="33" t="s">
        <v>197</v>
      </c>
      <c r="H24" s="33">
        <f>$C$24/$C$8</f>
        <v>34285.71429</v>
      </c>
      <c r="I24" s="33">
        <f>$C$24/$C$8*2</f>
        <v>68571.42857</v>
      </c>
      <c r="J24" s="33">
        <f t="shared" ref="J24:M24" si="9">$C$24/$C$8</f>
        <v>34285.71429</v>
      </c>
      <c r="K24" s="33">
        <f t="shared" si="9"/>
        <v>34285.71429</v>
      </c>
      <c r="L24" s="33">
        <f t="shared" si="9"/>
        <v>34285.71429</v>
      </c>
      <c r="M24" s="33">
        <f t="shared" si="9"/>
        <v>34285.71429</v>
      </c>
      <c r="N24" s="33">
        <v>0.0</v>
      </c>
      <c r="O24" s="42">
        <f t="shared" ref="O24:O27" si="12">COUNTIF(H24:N24,"&lt;&gt;0")+1</f>
        <v>7</v>
      </c>
      <c r="P24" s="16"/>
    </row>
    <row r="25">
      <c r="A25" s="81"/>
      <c r="B25" s="82"/>
      <c r="C25" s="87">
        <f>340000/12*3</f>
        <v>85000</v>
      </c>
      <c r="D25" s="87" t="str">
        <f>H7</f>
        <v>Toàn</v>
      </c>
      <c r="E25" s="88" t="s">
        <v>55</v>
      </c>
      <c r="F25" s="84" t="b">
        <f t="shared" si="10"/>
        <v>1</v>
      </c>
      <c r="G25" s="33" t="s">
        <v>204</v>
      </c>
      <c r="H25" s="33">
        <f>$C$25/$C$8</f>
        <v>12142.85714</v>
      </c>
      <c r="I25" s="33">
        <f>$C$25/$C$8*2</f>
        <v>24285.71429</v>
      </c>
      <c r="J25" s="33">
        <f t="shared" ref="J25:M25" si="11">$C$25/$C$8</f>
        <v>12142.85714</v>
      </c>
      <c r="K25" s="33">
        <f t="shared" si="11"/>
        <v>12142.85714</v>
      </c>
      <c r="L25" s="33">
        <f t="shared" si="11"/>
        <v>12142.85714</v>
      </c>
      <c r="M25" s="33">
        <f t="shared" si="11"/>
        <v>12142.85714</v>
      </c>
      <c r="N25" s="33">
        <v>0.0</v>
      </c>
      <c r="O25" s="42">
        <f t="shared" si="12"/>
        <v>7</v>
      </c>
      <c r="P25" s="16"/>
    </row>
    <row r="26">
      <c r="A26" s="81"/>
      <c r="B26" s="82"/>
      <c r="C26" s="87">
        <v>20000.0</v>
      </c>
      <c r="D26" s="87" t="str">
        <f>L7</f>
        <v>Kiên</v>
      </c>
      <c r="E26" s="88"/>
      <c r="F26" s="84" t="b">
        <f t="shared" si="10"/>
        <v>1</v>
      </c>
      <c r="G26" s="33" t="s">
        <v>209</v>
      </c>
      <c r="H26" s="33">
        <f>$C$26/$C$8</f>
        <v>2857.142857</v>
      </c>
      <c r="I26" s="33">
        <f>$C$26/$C$8*2</f>
        <v>5714.285714</v>
      </c>
      <c r="J26" s="33">
        <f t="shared" ref="J26:M26" si="13">$C$26/$C$8</f>
        <v>2857.142857</v>
      </c>
      <c r="K26" s="33">
        <f t="shared" si="13"/>
        <v>2857.142857</v>
      </c>
      <c r="L26" s="33">
        <f t="shared" si="13"/>
        <v>2857.142857</v>
      </c>
      <c r="M26" s="33">
        <f t="shared" si="13"/>
        <v>2857.142857</v>
      </c>
      <c r="N26" s="33"/>
      <c r="O26" s="42">
        <f t="shared" si="12"/>
        <v>7</v>
      </c>
      <c r="P26" s="16"/>
    </row>
    <row r="27">
      <c r="A27" s="81"/>
      <c r="B27" s="82"/>
      <c r="C27" s="87">
        <v>64000.0</v>
      </c>
      <c r="D27" s="87" t="str">
        <f>L7</f>
        <v>Kiên</v>
      </c>
      <c r="E27" s="88"/>
      <c r="F27" s="84" t="b">
        <f t="shared" si="10"/>
        <v>1</v>
      </c>
      <c r="G27" s="33" t="s">
        <v>212</v>
      </c>
      <c r="H27" s="33">
        <f>$C$27/$C$8</f>
        <v>9142.857143</v>
      </c>
      <c r="I27" s="33">
        <f>$C$27/$C$8*2</f>
        <v>18285.71429</v>
      </c>
      <c r="J27" s="33">
        <f t="shared" ref="J27:M27" si="14">$C$27/$C$8</f>
        <v>9142.857143</v>
      </c>
      <c r="K27" s="33">
        <f t="shared" si="14"/>
        <v>9142.857143</v>
      </c>
      <c r="L27" s="33">
        <f t="shared" si="14"/>
        <v>9142.857143</v>
      </c>
      <c r="M27" s="33">
        <f t="shared" si="14"/>
        <v>9142.857143</v>
      </c>
      <c r="N27" s="33"/>
      <c r="O27" s="42">
        <f t="shared" si="12"/>
        <v>7</v>
      </c>
      <c r="P27" s="16"/>
    </row>
    <row r="28">
      <c r="A28" s="81"/>
      <c r="B28" s="82"/>
      <c r="C28" s="82"/>
      <c r="D28" s="82"/>
      <c r="E28" s="83"/>
      <c r="F28" s="84"/>
      <c r="G28" s="32"/>
      <c r="H28" s="19"/>
      <c r="I28" s="19"/>
      <c r="J28" s="19"/>
      <c r="K28" s="19"/>
      <c r="L28" s="32"/>
      <c r="M28" s="32"/>
      <c r="N28" s="32"/>
      <c r="O28" s="42"/>
      <c r="P28" s="16"/>
    </row>
    <row r="29">
      <c r="A29" s="81"/>
      <c r="B29" s="82"/>
      <c r="C29" s="87">
        <v>220000.0</v>
      </c>
      <c r="D29" s="87" t="str">
        <f>H7</f>
        <v>Toàn</v>
      </c>
      <c r="E29" s="109" t="s">
        <v>210</v>
      </c>
      <c r="F29" s="84" t="b">
        <f>C29=sum(H29:N29)</f>
        <v>1</v>
      </c>
      <c r="G29" s="33" t="s">
        <v>215</v>
      </c>
      <c r="H29" s="33">
        <f t="shared" ref="H29:N29" si="15">$C$29/7</f>
        <v>31428.57143</v>
      </c>
      <c r="I29" s="33">
        <f t="shared" si="15"/>
        <v>31428.57143</v>
      </c>
      <c r="J29" s="33">
        <f t="shared" si="15"/>
        <v>31428.57143</v>
      </c>
      <c r="K29" s="33">
        <f t="shared" si="15"/>
        <v>31428.57143</v>
      </c>
      <c r="L29" s="33">
        <f t="shared" si="15"/>
        <v>31428.57143</v>
      </c>
      <c r="M29" s="33">
        <f t="shared" si="15"/>
        <v>31428.57143</v>
      </c>
      <c r="N29" s="33">
        <f t="shared" si="15"/>
        <v>31428.57143</v>
      </c>
      <c r="O29" s="42">
        <f>COUNTIF(H29:N29,"&lt;&gt;0")</f>
        <v>7</v>
      </c>
      <c r="P29" s="16"/>
    </row>
    <row r="30" ht="6.0" customHeight="1">
      <c r="A30" s="81"/>
      <c r="B30" s="82"/>
      <c r="C30" s="82"/>
      <c r="D30" s="82"/>
      <c r="E30" s="83"/>
      <c r="F30" s="84"/>
      <c r="G30" s="32"/>
      <c r="H30" s="19"/>
      <c r="I30" s="19"/>
      <c r="J30" s="19"/>
      <c r="K30" s="32"/>
      <c r="L30" s="19"/>
      <c r="M30" s="32"/>
      <c r="N30" s="32"/>
      <c r="O30" s="19"/>
      <c r="P30" s="16"/>
    </row>
    <row r="31" ht="18.0" customHeight="1">
      <c r="A31" s="81"/>
      <c r="B31" s="82"/>
      <c r="C31" s="82"/>
      <c r="D31" s="82"/>
      <c r="E31" s="83"/>
      <c r="F31" s="84"/>
      <c r="G31" s="73" t="s">
        <v>68</v>
      </c>
      <c r="H31" s="14"/>
      <c r="I31" s="14"/>
      <c r="J31" s="14"/>
      <c r="K31" s="14"/>
      <c r="L31" s="14"/>
      <c r="M31" s="14"/>
      <c r="N31" s="15"/>
      <c r="O31" s="19"/>
      <c r="P31" s="16"/>
    </row>
    <row r="32" ht="3.75" customHeight="1">
      <c r="A32" s="81"/>
      <c r="B32" s="82"/>
      <c r="C32" s="82"/>
      <c r="D32" s="82"/>
      <c r="E32" s="83"/>
      <c r="F32" s="84"/>
      <c r="G32" s="32"/>
      <c r="H32" s="19"/>
      <c r="I32" s="19"/>
      <c r="J32" s="19"/>
      <c r="K32" s="32"/>
      <c r="L32" s="19"/>
      <c r="M32" s="32"/>
      <c r="N32" s="32"/>
      <c r="O32" s="19"/>
      <c r="P32" s="16"/>
    </row>
    <row r="33">
      <c r="A33" s="81"/>
      <c r="B33" s="82"/>
      <c r="C33" s="82"/>
      <c r="D33" s="82"/>
      <c r="E33" s="83"/>
      <c r="F33" s="84" t="b">
        <f>C33=sum(H33:N33)</f>
        <v>1</v>
      </c>
      <c r="G33" s="33" t="s">
        <v>216</v>
      </c>
      <c r="H33" s="33">
        <v>82000.0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-82000.0</v>
      </c>
      <c r="O33" s="42">
        <f>COUNTIF(H33:N33,"&lt;&gt;0")</f>
        <v>2</v>
      </c>
      <c r="P33" s="16"/>
    </row>
    <row r="34">
      <c r="A34" s="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"/>
    </row>
    <row r="35" ht="15.0" customHeight="1">
      <c r="A35" s="2"/>
      <c r="B35" s="8"/>
      <c r="C35" s="90"/>
      <c r="D35" s="8"/>
      <c r="E35" s="91"/>
      <c r="F35" s="8"/>
      <c r="G35" s="8"/>
      <c r="H35" s="8"/>
      <c r="I35" s="8"/>
      <c r="J35" s="8"/>
      <c r="K35" s="8"/>
      <c r="L35" s="8"/>
      <c r="M35" s="8"/>
      <c r="N35" s="8"/>
      <c r="O35" s="8"/>
      <c r="P35" s="2"/>
    </row>
    <row r="36" ht="15.0" customHeight="1">
      <c r="A36" s="2"/>
      <c r="B36" s="8"/>
      <c r="C36" s="93" t="s">
        <v>81</v>
      </c>
      <c r="D36" s="8"/>
      <c r="E36" s="91"/>
      <c r="F36" s="8"/>
      <c r="G36" s="8"/>
      <c r="H36" s="8"/>
      <c r="I36" s="8"/>
      <c r="J36" s="8"/>
      <c r="K36" s="8"/>
      <c r="L36" s="8"/>
      <c r="M36" s="8"/>
      <c r="N36" s="8"/>
      <c r="O36" s="8"/>
      <c r="P36" s="2"/>
    </row>
    <row r="37" ht="19.5" customHeight="1">
      <c r="A37" s="16"/>
      <c r="B37" s="19"/>
      <c r="C37" s="119" t="str">
        <f>E29</f>
        <v>[1]</v>
      </c>
      <c r="D37" s="112" t="s">
        <v>218</v>
      </c>
      <c r="E37" s="113"/>
      <c r="F37" s="113"/>
      <c r="G37" s="113"/>
      <c r="H37" s="113"/>
      <c r="I37" s="113"/>
      <c r="J37" s="113"/>
      <c r="K37" s="113"/>
      <c r="L37" s="113"/>
      <c r="M37" s="113"/>
      <c r="N37" s="114"/>
      <c r="O37" s="19"/>
      <c r="P37" s="16"/>
    </row>
    <row r="38" ht="19.5" customHeight="1">
      <c r="A38" s="16"/>
      <c r="B38" s="19"/>
      <c r="C38" s="116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8"/>
      <c r="O38" s="19"/>
      <c r="P38" s="16"/>
    </row>
    <row r="39" ht="19.5" customHeight="1">
      <c r="A39" s="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10">
    <mergeCell ref="C21:E21"/>
    <mergeCell ref="G21:N21"/>
    <mergeCell ref="G31:N31"/>
    <mergeCell ref="C3:D3"/>
    <mergeCell ref="G5:N5"/>
    <mergeCell ref="D7:E7"/>
    <mergeCell ref="D8:E8"/>
    <mergeCell ref="D9:E9"/>
    <mergeCell ref="D10:E10"/>
    <mergeCell ref="D12:E12"/>
  </mergeCells>
  <conditionalFormatting sqref="A12:B13 F12:P13">
    <cfRule type="containsText" dxfId="0" priority="1" operator="containsText" text="Chuyển tiền">
      <formula>NOT(ISERROR(SEARCH(("Chuyển tiền"),(A12))))</formula>
    </cfRule>
  </conditionalFormatting>
  <conditionalFormatting sqref="A12:B13 F12:P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9.75"/>
    <col customWidth="1" min="5" max="5" width="12.0"/>
    <col customWidth="1" min="6" max="6" width="9.88"/>
    <col customWidth="1" min="7" max="7" width="23.25"/>
    <col customWidth="1" min="13" max="15" width="11.75"/>
    <col customWidth="1" min="16" max="16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2"/>
    </row>
    <row r="3" ht="16.5" customHeight="1">
      <c r="A3" s="2"/>
      <c r="B3" s="4"/>
      <c r="C3" s="6" t="s">
        <v>187</v>
      </c>
      <c r="D3" s="7"/>
      <c r="E3" s="8"/>
      <c r="F3" s="8"/>
      <c r="G3" s="9" t="s">
        <v>3</v>
      </c>
      <c r="H3" s="10">
        <v>1.0</v>
      </c>
      <c r="I3" s="10">
        <v>2.0</v>
      </c>
      <c r="J3" s="10">
        <v>3.0</v>
      </c>
      <c r="K3" s="10">
        <v>4.0</v>
      </c>
      <c r="L3" s="10">
        <v>5.0</v>
      </c>
      <c r="M3" s="10">
        <v>6.0</v>
      </c>
      <c r="N3" s="10">
        <v>7.0</v>
      </c>
      <c r="O3" s="5"/>
      <c r="P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8"/>
      <c r="P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5"/>
      <c r="O5" s="8"/>
      <c r="P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19"/>
      <c r="P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190</v>
      </c>
      <c r="J7" s="29" t="s">
        <v>21</v>
      </c>
      <c r="K7" s="29" t="s">
        <v>143</v>
      </c>
      <c r="L7" s="29" t="s">
        <v>107</v>
      </c>
      <c r="M7" s="29" t="s">
        <v>15</v>
      </c>
      <c r="N7" s="29" t="s">
        <v>14</v>
      </c>
      <c r="O7" s="19"/>
      <c r="P7" s="16"/>
    </row>
    <row r="8">
      <c r="A8" s="16"/>
      <c r="B8" s="19"/>
      <c r="C8" s="30">
        <f>L3</f>
        <v>5</v>
      </c>
      <c r="D8" s="31" t="s">
        <v>191</v>
      </c>
      <c r="E8" s="15"/>
      <c r="F8" s="32"/>
      <c r="G8" s="33" t="str">
        <f>C21</f>
        <v>Tổng ứng trước</v>
      </c>
      <c r="H8" s="34">
        <f t="shared" ref="H8:N8" si="1">round(sumif($D:$D,H7,$C:$C),0)</f>
        <v>325000</v>
      </c>
      <c r="I8" s="34">
        <f t="shared" si="1"/>
        <v>53000</v>
      </c>
      <c r="J8" s="34">
        <f t="shared" si="1"/>
        <v>0</v>
      </c>
      <c r="K8" s="34">
        <f t="shared" si="1"/>
        <v>30000</v>
      </c>
      <c r="L8" s="34">
        <f t="shared" si="1"/>
        <v>187000</v>
      </c>
      <c r="M8" s="34">
        <f t="shared" si="1"/>
        <v>0</v>
      </c>
      <c r="N8" s="34">
        <f t="shared" si="1"/>
        <v>0</v>
      </c>
      <c r="O8" s="19"/>
      <c r="P8" s="16"/>
    </row>
    <row r="9">
      <c r="A9" s="16"/>
      <c r="B9" s="19"/>
      <c r="C9" s="30">
        <f>M3</f>
        <v>6</v>
      </c>
      <c r="D9" s="31" t="s">
        <v>195</v>
      </c>
      <c r="E9" s="15"/>
      <c r="F9" s="32"/>
      <c r="G9" s="33" t="str">
        <f>G21</f>
        <v>Tổng chi phí</v>
      </c>
      <c r="H9" s="34">
        <f t="shared" ref="H9:N9" si="2">round(sum(H24:H29),0)</f>
        <v>115000</v>
      </c>
      <c r="I9" s="34">
        <f t="shared" si="2"/>
        <v>105000</v>
      </c>
      <c r="J9" s="34">
        <f t="shared" si="2"/>
        <v>115000</v>
      </c>
      <c r="K9" s="34">
        <f t="shared" si="2"/>
        <v>75000</v>
      </c>
      <c r="L9" s="34">
        <f t="shared" si="2"/>
        <v>105000</v>
      </c>
      <c r="M9" s="34">
        <f t="shared" si="2"/>
        <v>40000</v>
      </c>
      <c r="N9" s="34">
        <f t="shared" si="2"/>
        <v>40000</v>
      </c>
      <c r="O9" s="19"/>
      <c r="P9" s="16"/>
    </row>
    <row r="10">
      <c r="A10" s="16"/>
      <c r="B10" s="19"/>
      <c r="C10" s="35"/>
      <c r="D10" s="35"/>
      <c r="F10" s="36"/>
      <c r="G10" s="37" t="str">
        <f>G31</f>
        <v>Bù trừ nợ đợt trước</v>
      </c>
      <c r="H10" s="38">
        <f t="shared" ref="H10:N10" si="3">Sum(H33)</f>
        <v>0</v>
      </c>
      <c r="I10" s="38">
        <f t="shared" si="3"/>
        <v>0</v>
      </c>
      <c r="J10" s="38">
        <f t="shared" si="3"/>
        <v>0</v>
      </c>
      <c r="K10" s="38">
        <f t="shared" si="3"/>
        <v>0</v>
      </c>
      <c r="L10" s="38">
        <f t="shared" si="3"/>
        <v>0</v>
      </c>
      <c r="M10" s="38">
        <f t="shared" si="3"/>
        <v>0</v>
      </c>
      <c r="N10" s="38">
        <f t="shared" si="3"/>
        <v>0</v>
      </c>
      <c r="O10" s="19"/>
      <c r="P10" s="16"/>
    </row>
    <row r="11">
      <c r="A11" s="16"/>
      <c r="B11" s="19"/>
      <c r="F11" s="36"/>
      <c r="G11" s="39" t="s">
        <v>36</v>
      </c>
      <c r="H11" s="40">
        <f t="shared" ref="H11:N11" si="4">H8-H9-H10</f>
        <v>210000</v>
      </c>
      <c r="I11" s="40">
        <f t="shared" si="4"/>
        <v>-52000</v>
      </c>
      <c r="J11" s="40">
        <f t="shared" si="4"/>
        <v>-115000</v>
      </c>
      <c r="K11" s="40">
        <f t="shared" si="4"/>
        <v>-45000</v>
      </c>
      <c r="L11" s="40">
        <f t="shared" si="4"/>
        <v>82000</v>
      </c>
      <c r="M11" s="40">
        <f t="shared" si="4"/>
        <v>-40000</v>
      </c>
      <c r="N11" s="40">
        <f t="shared" si="4"/>
        <v>-40000</v>
      </c>
      <c r="O11" s="19"/>
      <c r="P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2"/>
      <c r="P12" s="41"/>
    </row>
    <row r="13">
      <c r="A13" s="41"/>
      <c r="B13" s="42"/>
      <c r="F13" s="42"/>
      <c r="G13" s="46" t="s">
        <v>38</v>
      </c>
      <c r="H13" s="47" t="str">
        <f t="shared" ref="H13:N13" si="5">if(H11&lt;0,"Chuyển tiền","Nhận tiền")</f>
        <v>Nhận tiền</v>
      </c>
      <c r="I13" s="47" t="str">
        <f t="shared" si="5"/>
        <v>Chuyển tiền</v>
      </c>
      <c r="J13" s="47" t="str">
        <f t="shared" si="5"/>
        <v>Chuyển tiền</v>
      </c>
      <c r="K13" s="47" t="str">
        <f t="shared" si="5"/>
        <v>Chuyển tiền</v>
      </c>
      <c r="L13" s="47" t="str">
        <f t="shared" si="5"/>
        <v>Nhận tiền</v>
      </c>
      <c r="M13" s="47" t="str">
        <f t="shared" si="5"/>
        <v>Chuyển tiền</v>
      </c>
      <c r="N13" s="47" t="str">
        <f t="shared" si="5"/>
        <v>Chuyển tiền</v>
      </c>
      <c r="O13" s="42"/>
      <c r="P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49"/>
      <c r="P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-sum(I15:N15)</f>
        <v>-210000</v>
      </c>
      <c r="I15" s="55">
        <v>52000.0</v>
      </c>
      <c r="J15" s="55">
        <v>115000.0</v>
      </c>
      <c r="K15" s="55">
        <v>45000.0</v>
      </c>
      <c r="L15" s="55">
        <v>-82000.0</v>
      </c>
      <c r="M15" s="55">
        <v>40000.0</v>
      </c>
      <c r="N15" s="55">
        <v>40000.0</v>
      </c>
      <c r="O15" s="49"/>
      <c r="P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6"/>
    </row>
    <row r="17">
      <c r="A17" s="16"/>
      <c r="B17" s="19"/>
      <c r="C17" s="50"/>
      <c r="D17" s="50"/>
      <c r="E17" s="19"/>
      <c r="F17" s="19"/>
      <c r="G17" s="51" t="s">
        <v>147</v>
      </c>
      <c r="H17" s="56">
        <f t="shared" ref="H17:N17" si="6">H11+H15</f>
        <v>0</v>
      </c>
      <c r="I17" s="56">
        <f t="shared" si="6"/>
        <v>0</v>
      </c>
      <c r="J17" s="56">
        <f t="shared" si="6"/>
        <v>0</v>
      </c>
      <c r="K17" s="56">
        <f t="shared" si="6"/>
        <v>0</v>
      </c>
      <c r="L17" s="56">
        <f t="shared" si="6"/>
        <v>0</v>
      </c>
      <c r="M17" s="56">
        <f t="shared" si="6"/>
        <v>0</v>
      </c>
      <c r="N17" s="56">
        <f t="shared" si="6"/>
        <v>0</v>
      </c>
      <c r="O17" s="19"/>
      <c r="P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 t="shared" ref="H18:N18" si="7">IF(AND(H17&gt;=-3000,H17&lt;=1000), "Done", "")</f>
        <v>Done</v>
      </c>
      <c r="I18" s="62" t="str">
        <f t="shared" si="7"/>
        <v>Done</v>
      </c>
      <c r="J18" s="62" t="str">
        <f t="shared" si="7"/>
        <v>Done</v>
      </c>
      <c r="K18" s="62" t="str">
        <f t="shared" si="7"/>
        <v>Done</v>
      </c>
      <c r="L18" s="62" t="str">
        <f t="shared" si="7"/>
        <v>Done</v>
      </c>
      <c r="M18" s="62" t="str">
        <f t="shared" si="7"/>
        <v>Done</v>
      </c>
      <c r="N18" s="62" t="str">
        <f t="shared" si="7"/>
        <v>Done</v>
      </c>
      <c r="O18" s="19"/>
      <c r="P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8"/>
      <c r="P19" s="2"/>
    </row>
    <row r="20" ht="32.25" customHeight="1">
      <c r="A20" s="63"/>
      <c r="B20" s="64"/>
      <c r="C20" s="68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8"/>
      <c r="P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5"/>
      <c r="O21" s="19"/>
      <c r="P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17"/>
      <c r="P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N23" si="8">H7</f>
        <v>Toàn</v>
      </c>
      <c r="I23" s="29" t="str">
        <f t="shared" si="8"/>
        <v>Trường </v>
      </c>
      <c r="J23" s="29" t="str">
        <f t="shared" si="8"/>
        <v>Quân</v>
      </c>
      <c r="K23" s="29" t="str">
        <f t="shared" si="8"/>
        <v>Băng</v>
      </c>
      <c r="L23" s="29" t="str">
        <f t="shared" si="8"/>
        <v>Tiến</v>
      </c>
      <c r="M23" s="29" t="str">
        <f t="shared" si="8"/>
        <v>Kiên</v>
      </c>
      <c r="N23" s="29" t="str">
        <f t="shared" si="8"/>
        <v>Tú</v>
      </c>
      <c r="O23" s="80" t="s">
        <v>8</v>
      </c>
      <c r="P23" s="16"/>
    </row>
    <row r="24">
      <c r="A24" s="57"/>
      <c r="B24" s="82"/>
      <c r="C24" s="87">
        <v>240000.0</v>
      </c>
      <c r="D24" s="87" t="str">
        <f>H7</f>
        <v>Toàn</v>
      </c>
      <c r="E24" s="88"/>
      <c r="F24" s="84" t="b">
        <f t="shared" ref="F24:F26" si="10">C24=sum(H24:N24)</f>
        <v>1</v>
      </c>
      <c r="G24" s="33" t="s">
        <v>217</v>
      </c>
      <c r="H24" s="33">
        <f t="shared" ref="H24:L24" si="9">$C$24/$C$8</f>
        <v>48000</v>
      </c>
      <c r="I24" s="33">
        <f t="shared" si="9"/>
        <v>48000</v>
      </c>
      <c r="J24" s="33">
        <f t="shared" si="9"/>
        <v>48000</v>
      </c>
      <c r="K24" s="33">
        <f t="shared" si="9"/>
        <v>48000</v>
      </c>
      <c r="L24" s="33">
        <f t="shared" si="9"/>
        <v>48000</v>
      </c>
      <c r="M24" s="33">
        <v>0.0</v>
      </c>
      <c r="N24" s="33">
        <v>0.0</v>
      </c>
      <c r="O24" s="42">
        <f t="shared" ref="O24:O26" si="12">COUNTIF(H24:N24,"&lt;&gt;0")</f>
        <v>5</v>
      </c>
      <c r="P24" s="16"/>
    </row>
    <row r="25">
      <c r="A25" s="81"/>
      <c r="B25" s="82"/>
      <c r="C25" s="87">
        <f>340000/12*3</f>
        <v>85000</v>
      </c>
      <c r="D25" s="87" t="str">
        <f>H7</f>
        <v>Toàn</v>
      </c>
      <c r="E25" s="88" t="s">
        <v>55</v>
      </c>
      <c r="F25" s="84" t="b">
        <f t="shared" si="10"/>
        <v>1</v>
      </c>
      <c r="G25" s="33" t="s">
        <v>219</v>
      </c>
      <c r="H25" s="33">
        <f t="shared" ref="H25:L25" si="11">$C$25/$C$8</f>
        <v>17000</v>
      </c>
      <c r="I25" s="33">
        <f t="shared" si="11"/>
        <v>17000</v>
      </c>
      <c r="J25" s="33">
        <f t="shared" si="11"/>
        <v>17000</v>
      </c>
      <c r="K25" s="33">
        <f t="shared" si="11"/>
        <v>17000</v>
      </c>
      <c r="L25" s="33">
        <f t="shared" si="11"/>
        <v>17000</v>
      </c>
      <c r="M25" s="33">
        <v>0.0</v>
      </c>
      <c r="N25" s="33">
        <v>0.0</v>
      </c>
      <c r="O25" s="42">
        <f t="shared" si="12"/>
        <v>5</v>
      </c>
      <c r="P25" s="16"/>
    </row>
    <row r="26">
      <c r="A26" s="81"/>
      <c r="B26" s="82"/>
      <c r="C26" s="87">
        <f>15000*2</f>
        <v>30000</v>
      </c>
      <c r="D26" s="87" t="str">
        <f>K7</f>
        <v>Băng</v>
      </c>
      <c r="E26" s="88"/>
      <c r="F26" s="84" t="b">
        <f t="shared" si="10"/>
        <v>1</v>
      </c>
      <c r="G26" s="33" t="s">
        <v>220</v>
      </c>
      <c r="H26" s="33">
        <f>$C$26/3</f>
        <v>10000</v>
      </c>
      <c r="I26" s="33">
        <v>0.0</v>
      </c>
      <c r="J26" s="33">
        <f t="shared" ref="J26:K26" si="13">$C$26/3</f>
        <v>10000</v>
      </c>
      <c r="K26" s="33">
        <f t="shared" si="13"/>
        <v>10000</v>
      </c>
      <c r="L26" s="33">
        <v>0.0</v>
      </c>
      <c r="M26" s="33">
        <v>0.0</v>
      </c>
      <c r="N26" s="33">
        <v>0.0</v>
      </c>
      <c r="O26" s="42">
        <f t="shared" si="12"/>
        <v>3</v>
      </c>
      <c r="P26" s="16"/>
    </row>
    <row r="27">
      <c r="A27" s="81"/>
      <c r="B27" s="82"/>
      <c r="C27" s="82"/>
      <c r="D27" s="82"/>
      <c r="E27" s="83"/>
      <c r="F27" s="84"/>
      <c r="G27" s="32"/>
      <c r="H27" s="19"/>
      <c r="I27" s="19"/>
      <c r="J27" s="19"/>
      <c r="K27" s="19"/>
      <c r="L27" s="32"/>
      <c r="M27" s="32"/>
      <c r="N27" s="32"/>
      <c r="O27" s="42"/>
      <c r="P27" s="16"/>
    </row>
    <row r="28">
      <c r="A28" s="81"/>
      <c r="B28" s="82"/>
      <c r="C28" s="87">
        <v>53000.0</v>
      </c>
      <c r="D28" s="87" t="str">
        <f>I7</f>
        <v>Trường </v>
      </c>
      <c r="E28" s="88"/>
      <c r="F28" s="84" t="b">
        <f t="shared" ref="F28:F29" si="16">C28=sum(H28:N28)</f>
        <v>1</v>
      </c>
      <c r="G28" s="33" t="s">
        <v>222</v>
      </c>
      <c r="H28" s="33">
        <f t="shared" ref="H28:J28" si="14">$C$28/6</f>
        <v>8833.333333</v>
      </c>
      <c r="I28" s="33">
        <f t="shared" si="14"/>
        <v>8833.333333</v>
      </c>
      <c r="J28" s="33">
        <f t="shared" si="14"/>
        <v>8833.333333</v>
      </c>
      <c r="K28" s="33">
        <v>0.0</v>
      </c>
      <c r="L28" s="33">
        <f t="shared" ref="L28:N28" si="15">$C$28/6</f>
        <v>8833.333333</v>
      </c>
      <c r="M28" s="33">
        <f t="shared" si="15"/>
        <v>8833.333333</v>
      </c>
      <c r="N28" s="33">
        <f t="shared" si="15"/>
        <v>8833.333333</v>
      </c>
      <c r="O28" s="42">
        <f t="shared" ref="O28:O29" si="19">COUNTIF(H28:N28,"&lt;&gt;0")</f>
        <v>6</v>
      </c>
      <c r="P28" s="16"/>
    </row>
    <row r="29">
      <c r="A29" s="81"/>
      <c r="B29" s="82"/>
      <c r="C29" s="87">
        <v>187000.0</v>
      </c>
      <c r="D29" s="87" t="str">
        <f>L7</f>
        <v>Tiến</v>
      </c>
      <c r="E29" s="88"/>
      <c r="F29" s="84" t="b">
        <f t="shared" si="16"/>
        <v>1</v>
      </c>
      <c r="G29" s="33" t="s">
        <v>222</v>
      </c>
      <c r="H29" s="33">
        <f t="shared" ref="H29:J29" si="17">$C$29/6</f>
        <v>31166.66667</v>
      </c>
      <c r="I29" s="33">
        <f t="shared" si="17"/>
        <v>31166.66667</v>
      </c>
      <c r="J29" s="33">
        <f t="shared" si="17"/>
        <v>31166.66667</v>
      </c>
      <c r="K29" s="33">
        <v>0.0</v>
      </c>
      <c r="L29" s="33">
        <f t="shared" ref="L29:N29" si="18">$C$29/6</f>
        <v>31166.66667</v>
      </c>
      <c r="M29" s="33">
        <f t="shared" si="18"/>
        <v>31166.66667</v>
      </c>
      <c r="N29" s="33">
        <f t="shared" si="18"/>
        <v>31166.66667</v>
      </c>
      <c r="O29" s="42">
        <f t="shared" si="19"/>
        <v>6</v>
      </c>
      <c r="P29" s="16"/>
    </row>
    <row r="30" ht="6.0" customHeight="1">
      <c r="A30" s="81"/>
      <c r="B30" s="82"/>
      <c r="C30" s="82"/>
      <c r="D30" s="82"/>
      <c r="E30" s="83"/>
      <c r="F30" s="84"/>
      <c r="G30" s="32"/>
      <c r="H30" s="19"/>
      <c r="I30" s="19"/>
      <c r="J30" s="19"/>
      <c r="K30" s="32"/>
      <c r="L30" s="19"/>
      <c r="M30" s="19"/>
      <c r="N30" s="32"/>
      <c r="O30" s="19"/>
      <c r="P30" s="16"/>
    </row>
    <row r="31" ht="18.0" customHeight="1">
      <c r="A31" s="81"/>
      <c r="B31" s="82"/>
      <c r="C31" s="82"/>
      <c r="D31" s="82"/>
      <c r="E31" s="83"/>
      <c r="F31" s="84"/>
      <c r="G31" s="73" t="s">
        <v>68</v>
      </c>
      <c r="H31" s="14"/>
      <c r="I31" s="14"/>
      <c r="J31" s="14"/>
      <c r="K31" s="14"/>
      <c r="L31" s="14"/>
      <c r="M31" s="14"/>
      <c r="N31" s="15"/>
      <c r="O31" s="19"/>
      <c r="P31" s="16"/>
    </row>
    <row r="32" ht="3.75" customHeight="1">
      <c r="A32" s="81"/>
      <c r="B32" s="82"/>
      <c r="C32" s="82"/>
      <c r="D32" s="82"/>
      <c r="E32" s="83"/>
      <c r="F32" s="84"/>
      <c r="G32" s="32"/>
      <c r="H32" s="19"/>
      <c r="I32" s="19"/>
      <c r="J32" s="19"/>
      <c r="K32" s="32"/>
      <c r="L32" s="19"/>
      <c r="M32" s="19"/>
      <c r="N32" s="32"/>
      <c r="O32" s="19"/>
      <c r="P32" s="16"/>
    </row>
    <row r="33">
      <c r="A33" s="81"/>
      <c r="B33" s="82"/>
      <c r="C33" s="82"/>
      <c r="D33" s="82"/>
      <c r="E33" s="83"/>
      <c r="F33" s="84" t="b">
        <f>C33=sum(H33:N33)</f>
        <v>1</v>
      </c>
      <c r="G33" s="33" t="s">
        <v>229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42">
        <f>COUNTIF(H33:N33,"&lt;&gt;0")</f>
        <v>0</v>
      </c>
      <c r="P33" s="16"/>
    </row>
    <row r="34">
      <c r="A34" s="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"/>
    </row>
    <row r="35" ht="19.5" customHeight="1">
      <c r="A35" s="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"/>
    </row>
    <row r="36" ht="19.5" customHeight="1">
      <c r="A36" s="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"/>
    </row>
    <row r="37" ht="19.5" customHeight="1">
      <c r="A37" s="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"/>
    </row>
    <row r="38" ht="19.5" customHeight="1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"/>
    </row>
    <row r="39" ht="19.5" customHeight="1">
      <c r="A39" s="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10">
    <mergeCell ref="C21:E21"/>
    <mergeCell ref="G21:N21"/>
    <mergeCell ref="G31:N31"/>
    <mergeCell ref="C3:D3"/>
    <mergeCell ref="G5:N5"/>
    <mergeCell ref="D7:E7"/>
    <mergeCell ref="D8:E8"/>
    <mergeCell ref="D9:E9"/>
    <mergeCell ref="D10:E10"/>
    <mergeCell ref="D12:E12"/>
  </mergeCells>
  <conditionalFormatting sqref="A12:B13 F12:P13">
    <cfRule type="containsText" dxfId="0" priority="1" operator="containsText" text="Chuyển tiền">
      <formula>NOT(ISERROR(SEARCH(("Chuyển tiền"),(A12))))</formula>
    </cfRule>
  </conditionalFormatting>
  <conditionalFormatting sqref="A12:B13 F12:P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25"/>
    <col customWidth="1" min="3" max="3" width="10.5"/>
    <col customWidth="1" min="4" max="4" width="9.75"/>
    <col customWidth="1" min="5" max="5" width="12.0"/>
    <col customWidth="1" min="6" max="6" width="9.88"/>
    <col customWidth="1" min="7" max="7" width="23.25"/>
    <col customWidth="1" min="13" max="15" width="11.75"/>
    <col customWidth="1" min="16" max="16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2"/>
    </row>
    <row r="3" ht="16.5" customHeight="1">
      <c r="A3" s="2"/>
      <c r="B3" s="4"/>
      <c r="C3" s="6" t="s">
        <v>200</v>
      </c>
      <c r="D3" s="7"/>
      <c r="E3" s="8"/>
      <c r="F3" s="8"/>
      <c r="G3" s="9" t="s">
        <v>3</v>
      </c>
      <c r="H3" s="10">
        <v>1.0</v>
      </c>
      <c r="I3" s="10">
        <v>2.0</v>
      </c>
      <c r="J3" s="10">
        <v>3.0</v>
      </c>
      <c r="K3" s="10">
        <v>4.0</v>
      </c>
      <c r="L3" s="10">
        <v>5.0</v>
      </c>
      <c r="M3" s="10">
        <v>6.0</v>
      </c>
      <c r="N3" s="10">
        <v>7.0</v>
      </c>
      <c r="O3" s="5"/>
      <c r="P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8"/>
      <c r="P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5"/>
      <c r="O5" s="8"/>
      <c r="P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19"/>
      <c r="P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12</v>
      </c>
      <c r="J7" s="29" t="s">
        <v>14</v>
      </c>
      <c r="K7" s="29" t="s">
        <v>15</v>
      </c>
      <c r="L7" s="29" t="s">
        <v>143</v>
      </c>
      <c r="M7" s="29" t="s">
        <v>21</v>
      </c>
      <c r="N7" s="29" t="s">
        <v>207</v>
      </c>
      <c r="O7" s="19"/>
      <c r="P7" s="16"/>
    </row>
    <row r="8">
      <c r="A8" s="16"/>
      <c r="B8" s="19"/>
      <c r="C8" s="30">
        <v>9.0</v>
      </c>
      <c r="D8" s="31" t="s">
        <v>208</v>
      </c>
      <c r="E8" s="15"/>
      <c r="F8" s="32"/>
      <c r="G8" s="33" t="str">
        <f>C21</f>
        <v>Tổng ứng trước</v>
      </c>
      <c r="H8" s="34">
        <f t="shared" ref="H8:N8" si="1">round(sumif($D:$D,H7,$C:$C),0)</f>
        <v>839000</v>
      </c>
      <c r="I8" s="34">
        <f t="shared" si="1"/>
        <v>0</v>
      </c>
      <c r="J8" s="34">
        <f t="shared" si="1"/>
        <v>0</v>
      </c>
      <c r="K8" s="34">
        <f t="shared" si="1"/>
        <v>0</v>
      </c>
      <c r="L8" s="34">
        <f t="shared" si="1"/>
        <v>0</v>
      </c>
      <c r="M8" s="34">
        <f t="shared" si="1"/>
        <v>0</v>
      </c>
      <c r="N8" s="34">
        <f t="shared" si="1"/>
        <v>0</v>
      </c>
      <c r="O8" s="19"/>
      <c r="P8" s="16"/>
    </row>
    <row r="9">
      <c r="A9" s="16"/>
      <c r="B9" s="19"/>
      <c r="C9" s="30">
        <v>9.0</v>
      </c>
      <c r="D9" s="31" t="s">
        <v>213</v>
      </c>
      <c r="E9" s="15"/>
      <c r="F9" s="32"/>
      <c r="G9" s="33" t="str">
        <f>G21</f>
        <v>Tổng chi phí</v>
      </c>
      <c r="H9" s="34">
        <f t="shared" ref="H9:N9" si="2">round(sum(H24:H31),0)</f>
        <v>112476</v>
      </c>
      <c r="I9" s="34">
        <f t="shared" si="2"/>
        <v>126667</v>
      </c>
      <c r="J9" s="34">
        <f t="shared" si="2"/>
        <v>112476</v>
      </c>
      <c r="K9" s="34">
        <f t="shared" si="2"/>
        <v>113476</v>
      </c>
      <c r="L9" s="34">
        <f t="shared" si="2"/>
        <v>75476</v>
      </c>
      <c r="M9" s="34">
        <f t="shared" si="2"/>
        <v>112476</v>
      </c>
      <c r="N9" s="34">
        <f t="shared" si="2"/>
        <v>185952</v>
      </c>
      <c r="O9" s="19"/>
      <c r="P9" s="16"/>
    </row>
    <row r="10">
      <c r="A10" s="16"/>
      <c r="B10" s="19"/>
      <c r="C10" s="30">
        <v>4.0</v>
      </c>
      <c r="D10" s="31" t="s">
        <v>214</v>
      </c>
      <c r="E10" s="15"/>
      <c r="F10" s="36"/>
      <c r="G10" s="37" t="str">
        <f>G33</f>
        <v>Bù trừ nợ đợt trước</v>
      </c>
      <c r="H10" s="38">
        <f t="shared" ref="H10:N10" si="3">Sum(H35)</f>
        <v>0</v>
      </c>
      <c r="I10" s="38">
        <f t="shared" si="3"/>
        <v>30000</v>
      </c>
      <c r="J10" s="38">
        <f t="shared" si="3"/>
        <v>-90000</v>
      </c>
      <c r="K10" s="38">
        <f t="shared" si="3"/>
        <v>30000</v>
      </c>
      <c r="L10" s="38">
        <f t="shared" si="3"/>
        <v>0</v>
      </c>
      <c r="M10" s="38">
        <f t="shared" si="3"/>
        <v>30000</v>
      </c>
      <c r="N10" s="38">
        <f t="shared" si="3"/>
        <v>0</v>
      </c>
      <c r="O10" s="19"/>
      <c r="P10" s="16"/>
    </row>
    <row r="11">
      <c r="A11" s="16"/>
      <c r="B11" s="19"/>
      <c r="F11" s="36"/>
      <c r="G11" s="39" t="s">
        <v>36</v>
      </c>
      <c r="H11" s="40">
        <f t="shared" ref="H11:N11" si="4">H8-H9-H10</f>
        <v>726524</v>
      </c>
      <c r="I11" s="40">
        <f t="shared" si="4"/>
        <v>-156667</v>
      </c>
      <c r="J11" s="40">
        <f t="shared" si="4"/>
        <v>-22476</v>
      </c>
      <c r="K11" s="40">
        <f t="shared" si="4"/>
        <v>-143476</v>
      </c>
      <c r="L11" s="40">
        <f t="shared" si="4"/>
        <v>-75476</v>
      </c>
      <c r="M11" s="40">
        <f t="shared" si="4"/>
        <v>-142476</v>
      </c>
      <c r="N11" s="40">
        <f t="shared" si="4"/>
        <v>-185952</v>
      </c>
      <c r="O11" s="19"/>
      <c r="P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2"/>
      <c r="P12" s="41"/>
    </row>
    <row r="13">
      <c r="A13" s="41"/>
      <c r="B13" s="42"/>
      <c r="F13" s="42"/>
      <c r="G13" s="46" t="s">
        <v>38</v>
      </c>
      <c r="H13" s="47" t="str">
        <f t="shared" ref="H13:N13" si="5">if(H11&lt;0,"Chuyển tiền","Nhận tiền")</f>
        <v>Nhận tiền</v>
      </c>
      <c r="I13" s="47" t="str">
        <f t="shared" si="5"/>
        <v>Chuyển tiền</v>
      </c>
      <c r="J13" s="47" t="str">
        <f t="shared" si="5"/>
        <v>Chuyển tiền</v>
      </c>
      <c r="K13" s="47" t="str">
        <f t="shared" si="5"/>
        <v>Chuyển tiền</v>
      </c>
      <c r="L13" s="47" t="str">
        <f t="shared" si="5"/>
        <v>Chuyển tiền</v>
      </c>
      <c r="M13" s="47" t="str">
        <f t="shared" si="5"/>
        <v>Chuyển tiền</v>
      </c>
      <c r="N13" s="47" t="str">
        <f t="shared" si="5"/>
        <v>Chuyển tiền</v>
      </c>
      <c r="O13" s="42"/>
      <c r="P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49"/>
      <c r="P14" s="48"/>
    </row>
    <row r="15">
      <c r="A15" s="48"/>
      <c r="B15" s="49"/>
      <c r="C15" s="50"/>
      <c r="D15" s="50"/>
      <c r="E15" s="49"/>
      <c r="F15" s="49"/>
      <c r="G15" s="53" t="s">
        <v>39</v>
      </c>
      <c r="H15" s="54">
        <f>-sum(I15:N15)</f>
        <v>-725667</v>
      </c>
      <c r="I15" s="55">
        <f>-I11</f>
        <v>156667</v>
      </c>
      <c r="J15" s="55">
        <v>23000.0</v>
      </c>
      <c r="K15" s="55">
        <v>143000.0</v>
      </c>
      <c r="L15" s="55">
        <v>75000.0</v>
      </c>
      <c r="M15" s="55">
        <v>143000.0</v>
      </c>
      <c r="N15" s="55">
        <v>185000.0</v>
      </c>
      <c r="O15" s="49"/>
      <c r="P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6"/>
    </row>
    <row r="17">
      <c r="A17" s="16"/>
      <c r="B17" s="19"/>
      <c r="C17" s="50"/>
      <c r="D17" s="50"/>
      <c r="E17" s="19"/>
      <c r="F17" s="19"/>
      <c r="G17" s="51" t="s">
        <v>147</v>
      </c>
      <c r="H17" s="56">
        <f t="shared" ref="H17:N17" si="6">H11+H15</f>
        <v>857</v>
      </c>
      <c r="I17" s="56">
        <f t="shared" si="6"/>
        <v>0</v>
      </c>
      <c r="J17" s="56">
        <f t="shared" si="6"/>
        <v>524</v>
      </c>
      <c r="K17" s="56">
        <f t="shared" si="6"/>
        <v>-476</v>
      </c>
      <c r="L17" s="56">
        <f t="shared" si="6"/>
        <v>-476</v>
      </c>
      <c r="M17" s="56">
        <f t="shared" si="6"/>
        <v>524</v>
      </c>
      <c r="N17" s="56">
        <f t="shared" si="6"/>
        <v>-952</v>
      </c>
      <c r="O17" s="19"/>
      <c r="P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 t="shared" ref="H18:N18" si="7">IF(AND(H17&gt;=-3000,H17&lt;=1000), "Done", "")</f>
        <v>Done</v>
      </c>
      <c r="I18" s="62" t="str">
        <f t="shared" si="7"/>
        <v>Done</v>
      </c>
      <c r="J18" s="62" t="str">
        <f t="shared" si="7"/>
        <v>Done</v>
      </c>
      <c r="K18" s="62" t="str">
        <f t="shared" si="7"/>
        <v>Done</v>
      </c>
      <c r="L18" s="62" t="str">
        <f t="shared" si="7"/>
        <v>Done</v>
      </c>
      <c r="M18" s="62" t="str">
        <f t="shared" si="7"/>
        <v>Done</v>
      </c>
      <c r="N18" s="62" t="str">
        <f t="shared" si="7"/>
        <v>Done</v>
      </c>
      <c r="O18" s="19"/>
      <c r="P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8"/>
      <c r="P19" s="2"/>
    </row>
    <row r="20" ht="32.25" customHeight="1">
      <c r="A20" s="63"/>
      <c r="B20" s="64"/>
      <c r="C20" s="134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8"/>
      <c r="P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5"/>
      <c r="O21" s="19"/>
      <c r="P21" s="16"/>
    </row>
    <row r="22" ht="5.25" customHeight="1">
      <c r="A22" s="57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17"/>
      <c r="P22" s="16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N23" si="8">H7</f>
        <v>Toàn</v>
      </c>
      <c r="I23" s="29" t="str">
        <f t="shared" si="8"/>
        <v>Trường + Thủy</v>
      </c>
      <c r="J23" s="29" t="str">
        <f t="shared" si="8"/>
        <v>Tú</v>
      </c>
      <c r="K23" s="29" t="str">
        <f t="shared" si="8"/>
        <v>Kiên</v>
      </c>
      <c r="L23" s="29" t="str">
        <f t="shared" si="8"/>
        <v>Băng</v>
      </c>
      <c r="M23" s="29" t="str">
        <f t="shared" si="8"/>
        <v>Quân</v>
      </c>
      <c r="N23" s="29" t="str">
        <f t="shared" si="8"/>
        <v>Tiến + Hòa</v>
      </c>
      <c r="O23" s="80" t="s">
        <v>8</v>
      </c>
      <c r="P23" s="16"/>
    </row>
    <row r="24">
      <c r="A24" s="57"/>
      <c r="B24" s="82"/>
      <c r="C24" s="87">
        <v>80000.0</v>
      </c>
      <c r="D24" s="87" t="str">
        <f>H7</f>
        <v>Toàn</v>
      </c>
      <c r="E24" s="88" t="s">
        <v>243</v>
      </c>
      <c r="F24" s="84" t="b">
        <f t="shared" ref="F24:F27" si="10">C24=sum(H24:N24)</f>
        <v>1</v>
      </c>
      <c r="G24" s="148" t="s">
        <v>246</v>
      </c>
      <c r="H24" s="33">
        <f>$C24/($C$8-2)</f>
        <v>11428.57143</v>
      </c>
      <c r="I24" s="33">
        <v>0.0</v>
      </c>
      <c r="J24" s="33">
        <f t="shared" ref="J24:M24" si="9">$C24/($C$8-2)</f>
        <v>11428.57143</v>
      </c>
      <c r="K24" s="33">
        <f t="shared" si="9"/>
        <v>11428.57143</v>
      </c>
      <c r="L24" s="33">
        <f t="shared" si="9"/>
        <v>11428.57143</v>
      </c>
      <c r="M24" s="33">
        <f t="shared" si="9"/>
        <v>11428.57143</v>
      </c>
      <c r="N24" s="33">
        <f>$C24/($C$8-2)*2</f>
        <v>22857.14286</v>
      </c>
      <c r="O24" s="42">
        <f>COUNTIF(H24:N24,"&lt;&gt;0")+1</f>
        <v>7</v>
      </c>
      <c r="P24" s="16"/>
    </row>
    <row r="25">
      <c r="A25" s="81"/>
      <c r="B25" s="82"/>
      <c r="C25" s="87">
        <v>80000.0</v>
      </c>
      <c r="D25" s="87" t="str">
        <f>H7</f>
        <v>Toàn</v>
      </c>
      <c r="E25" s="88" t="s">
        <v>249</v>
      </c>
      <c r="F25" s="84" t="b">
        <f t="shared" si="10"/>
        <v>1</v>
      </c>
      <c r="G25" s="152"/>
      <c r="H25" s="33">
        <f t="shared" ref="H25:H26" si="12">$C25/$C$8</f>
        <v>8888.888889</v>
      </c>
      <c r="I25" s="33">
        <f t="shared" ref="I25:I26" si="13">$C25/$C$8*2</f>
        <v>17777.77778</v>
      </c>
      <c r="J25" s="33">
        <f t="shared" ref="J25:M25" si="11">$C25/$C$8</f>
        <v>8888.888889</v>
      </c>
      <c r="K25" s="33">
        <f t="shared" si="11"/>
        <v>8888.888889</v>
      </c>
      <c r="L25" s="33">
        <f t="shared" si="11"/>
        <v>8888.888889</v>
      </c>
      <c r="M25" s="33">
        <f t="shared" si="11"/>
        <v>8888.888889</v>
      </c>
      <c r="N25" s="33">
        <f t="shared" ref="N25:N26" si="15">$C25/$C$8*2</f>
        <v>17777.77778</v>
      </c>
      <c r="O25" s="42">
        <f t="shared" ref="O25:O26" si="16">COUNTIF(H25:N25,"&lt;&gt;0")+2</f>
        <v>9</v>
      </c>
      <c r="P25" s="16"/>
    </row>
    <row r="26">
      <c r="A26" s="81"/>
      <c r="B26" s="82"/>
      <c r="C26" s="87">
        <f>340000/12*3</f>
        <v>85000</v>
      </c>
      <c r="D26" s="87" t="str">
        <f>H7</f>
        <v>Toàn</v>
      </c>
      <c r="E26" s="88" t="s">
        <v>55</v>
      </c>
      <c r="F26" s="84" t="b">
        <f t="shared" si="10"/>
        <v>1</v>
      </c>
      <c r="G26" s="33" t="s">
        <v>251</v>
      </c>
      <c r="H26" s="33">
        <f t="shared" si="12"/>
        <v>9444.444444</v>
      </c>
      <c r="I26" s="33">
        <f t="shared" si="13"/>
        <v>18888.88889</v>
      </c>
      <c r="J26" s="33">
        <f t="shared" ref="J26:M26" si="14">$C26/$C$8</f>
        <v>9444.444444</v>
      </c>
      <c r="K26" s="33">
        <f t="shared" si="14"/>
        <v>9444.444444</v>
      </c>
      <c r="L26" s="33">
        <f t="shared" si="14"/>
        <v>9444.444444</v>
      </c>
      <c r="M26" s="33">
        <f t="shared" si="14"/>
        <v>9444.444444</v>
      </c>
      <c r="N26" s="33">
        <f t="shared" si="15"/>
        <v>18888.88889</v>
      </c>
      <c r="O26" s="42">
        <f t="shared" si="16"/>
        <v>9</v>
      </c>
      <c r="P26" s="16"/>
    </row>
    <row r="27">
      <c r="A27" s="81"/>
      <c r="B27" s="82"/>
      <c r="C27" s="87">
        <v>75000.0</v>
      </c>
      <c r="D27" s="87" t="str">
        <f>H7</f>
        <v>Toàn</v>
      </c>
      <c r="E27" s="88"/>
      <c r="F27" s="84" t="b">
        <f t="shared" si="10"/>
        <v>1</v>
      </c>
      <c r="G27" s="33" t="s">
        <v>252</v>
      </c>
      <c r="H27" s="33">
        <f>$C27/($C$8-2)</f>
        <v>10714.28571</v>
      </c>
      <c r="I27" s="33">
        <v>0.0</v>
      </c>
      <c r="J27" s="33">
        <f t="shared" ref="J27:M27" si="17">$C27/($C$8-2)</f>
        <v>10714.28571</v>
      </c>
      <c r="K27" s="33">
        <f t="shared" si="17"/>
        <v>10714.28571</v>
      </c>
      <c r="L27" s="33">
        <f t="shared" si="17"/>
        <v>10714.28571</v>
      </c>
      <c r="M27" s="33">
        <f t="shared" si="17"/>
        <v>10714.28571</v>
      </c>
      <c r="N27" s="33">
        <f>$C27/($C$8-2)*2</f>
        <v>21428.57143</v>
      </c>
      <c r="O27" s="42">
        <f>COUNTIF(H27:N27,"&lt;&gt;0")+1</f>
        <v>7</v>
      </c>
      <c r="P27" s="16"/>
    </row>
    <row r="28">
      <c r="A28" s="81"/>
      <c r="B28" s="82"/>
      <c r="C28" s="82"/>
      <c r="D28" s="82"/>
      <c r="E28" s="83"/>
      <c r="F28" s="84"/>
      <c r="G28" s="32"/>
      <c r="H28" s="19"/>
      <c r="I28" s="19"/>
      <c r="J28" s="19"/>
      <c r="K28" s="19"/>
      <c r="L28" s="32"/>
      <c r="M28" s="32"/>
      <c r="N28" s="32"/>
      <c r="O28" s="42"/>
      <c r="P28" s="16"/>
    </row>
    <row r="29">
      <c r="A29" s="81"/>
      <c r="B29" s="82"/>
      <c r="C29" s="87">
        <v>419000.0</v>
      </c>
      <c r="D29" s="87" t="str">
        <f>H7</f>
        <v>Toàn</v>
      </c>
      <c r="E29" s="88" t="s">
        <v>254</v>
      </c>
      <c r="F29" s="84" t="b">
        <f>C29=sum(H29:N29)</f>
        <v>1</v>
      </c>
      <c r="G29" s="33" t="s">
        <v>255</v>
      </c>
      <c r="H29" s="33">
        <f>17000+25000+5000</f>
        <v>47000</v>
      </c>
      <c r="I29" s="33">
        <f>17000+15000+23000+35000</f>
        <v>90000</v>
      </c>
      <c r="J29" s="33">
        <f>17000+25000+5000</f>
        <v>47000</v>
      </c>
      <c r="K29" s="33">
        <f>18000+25000+5000</f>
        <v>48000</v>
      </c>
      <c r="L29" s="33">
        <f>18000+12000+5000</f>
        <v>35000</v>
      </c>
      <c r="M29" s="33">
        <f>17000+25000+5000</f>
        <v>47000</v>
      </c>
      <c r="N29" s="33">
        <f>18000+17000+70000</f>
        <v>105000</v>
      </c>
      <c r="O29" s="42">
        <f>COUNTIF(H29:N29,"&lt;&gt;0")+2</f>
        <v>9</v>
      </c>
      <c r="P29" s="16"/>
    </row>
    <row r="30">
      <c r="A30" s="81"/>
      <c r="B30" s="82"/>
      <c r="C30" s="82"/>
      <c r="D30" s="82"/>
      <c r="E30" s="83"/>
      <c r="F30" s="84"/>
      <c r="G30" s="32"/>
      <c r="H30" s="19"/>
      <c r="I30" s="19"/>
      <c r="J30" s="19"/>
      <c r="K30" s="19"/>
      <c r="L30" s="32"/>
      <c r="M30" s="32"/>
      <c r="N30" s="32"/>
      <c r="O30" s="42"/>
      <c r="P30" s="16"/>
    </row>
    <row r="31">
      <c r="A31" s="81"/>
      <c r="B31" s="82"/>
      <c r="C31" s="87">
        <v>100000.0</v>
      </c>
      <c r="D31" s="87" t="str">
        <f>H7</f>
        <v>Toàn</v>
      </c>
      <c r="E31" s="88"/>
      <c r="F31" s="84" t="b">
        <f>C31=sum(H31:N31)</f>
        <v>1</v>
      </c>
      <c r="G31" s="33" t="s">
        <v>262</v>
      </c>
      <c r="H31" s="34">
        <f>$C$31/4</f>
        <v>25000</v>
      </c>
      <c r="I31" s="33">
        <v>0.0</v>
      </c>
      <c r="J31" s="34">
        <f t="shared" ref="J31:K31" si="18">$C$31/4</f>
        <v>25000</v>
      </c>
      <c r="K31" s="34">
        <f t="shared" si="18"/>
        <v>25000</v>
      </c>
      <c r="L31" s="33">
        <v>0.0</v>
      </c>
      <c r="M31" s="34">
        <f>$C$31/4</f>
        <v>25000</v>
      </c>
      <c r="N31" s="33">
        <v>0.0</v>
      </c>
      <c r="O31" s="42">
        <f>COUNTIF(H31:N31,"&lt;&gt;0")</f>
        <v>4</v>
      </c>
      <c r="P31" s="16"/>
    </row>
    <row r="32" ht="6.0" customHeight="1">
      <c r="A32" s="81"/>
      <c r="B32" s="82"/>
      <c r="C32" s="82"/>
      <c r="D32" s="82"/>
      <c r="E32" s="83"/>
      <c r="F32" s="84"/>
      <c r="G32" s="32"/>
      <c r="H32" s="19"/>
      <c r="I32" s="19"/>
      <c r="J32" s="19"/>
      <c r="K32" s="32"/>
      <c r="L32" s="19"/>
      <c r="M32" s="19"/>
      <c r="N32" s="32"/>
      <c r="O32" s="19"/>
      <c r="P32" s="16"/>
    </row>
    <row r="33" ht="18.0" customHeight="1">
      <c r="A33" s="81"/>
      <c r="B33" s="82"/>
      <c r="C33" s="82"/>
      <c r="D33" s="82"/>
      <c r="E33" s="83"/>
      <c r="F33" s="84"/>
      <c r="G33" s="73" t="s">
        <v>68</v>
      </c>
      <c r="H33" s="14"/>
      <c r="I33" s="14"/>
      <c r="J33" s="14"/>
      <c r="K33" s="14"/>
      <c r="L33" s="14"/>
      <c r="M33" s="14"/>
      <c r="N33" s="15"/>
      <c r="O33" s="19"/>
      <c r="P33" s="16"/>
    </row>
    <row r="34" ht="3.75" customHeight="1">
      <c r="A34" s="81"/>
      <c r="B34" s="82"/>
      <c r="C34" s="82"/>
      <c r="D34" s="82"/>
      <c r="E34" s="83"/>
      <c r="F34" s="84"/>
      <c r="G34" s="32"/>
      <c r="H34" s="19"/>
      <c r="I34" s="19"/>
      <c r="J34" s="19"/>
      <c r="K34" s="32"/>
      <c r="L34" s="19"/>
      <c r="M34" s="19"/>
      <c r="N34" s="32"/>
      <c r="O34" s="19"/>
      <c r="P34" s="16"/>
    </row>
    <row r="35">
      <c r="A35" s="81"/>
      <c r="B35" s="82"/>
      <c r="C35" s="82"/>
      <c r="D35" s="82"/>
      <c r="E35" s="83"/>
      <c r="F35" s="84" t="b">
        <f>C35=sum(H35:N35)</f>
        <v>1</v>
      </c>
      <c r="G35" s="33" t="s">
        <v>266</v>
      </c>
      <c r="H35" s="33">
        <v>0.0</v>
      </c>
      <c r="I35" s="33">
        <v>30000.0</v>
      </c>
      <c r="J35" s="33">
        <f>-90000</f>
        <v>-90000</v>
      </c>
      <c r="K35" s="33">
        <v>30000.0</v>
      </c>
      <c r="L35" s="33">
        <v>0.0</v>
      </c>
      <c r="M35" s="33">
        <v>30000.0</v>
      </c>
      <c r="N35" s="33">
        <v>0.0</v>
      </c>
      <c r="O35" s="42">
        <f>COUNTIF(H35:N35,"&lt;&gt;0")</f>
        <v>4</v>
      </c>
      <c r="P35" s="16"/>
    </row>
    <row r="36">
      <c r="A36" s="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"/>
    </row>
    <row r="37" ht="19.5" customHeight="1">
      <c r="A37" s="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</sheetData>
  <mergeCells count="11">
    <mergeCell ref="C21:E21"/>
    <mergeCell ref="G21:N21"/>
    <mergeCell ref="G24:G25"/>
    <mergeCell ref="G33:N33"/>
    <mergeCell ref="C3:D3"/>
    <mergeCell ref="G5:N5"/>
    <mergeCell ref="D7:E7"/>
    <mergeCell ref="D8:E8"/>
    <mergeCell ref="D9:E9"/>
    <mergeCell ref="D10:E10"/>
    <mergeCell ref="D12:E12"/>
  </mergeCells>
  <conditionalFormatting sqref="A12:B13 F12:P13">
    <cfRule type="containsText" dxfId="0" priority="1" operator="containsText" text="Chuyển tiền">
      <formula>NOT(ISERROR(SEARCH(("Chuyển tiền"),(A12))))</formula>
    </cfRule>
  </conditionalFormatting>
  <conditionalFormatting sqref="A12:B13 F12:P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3" width="10.5"/>
    <col customWidth="1" min="4" max="4" width="9.75"/>
    <col customWidth="1" min="5" max="5" width="12.0"/>
    <col customWidth="1" min="6" max="6" width="9.88"/>
    <col customWidth="1" min="7" max="7" width="23.25"/>
    <col customWidth="1" min="13" max="17" width="11.75"/>
    <col customWidth="1" min="18" max="18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5"/>
      <c r="Q2" s="5"/>
      <c r="R2" s="2"/>
    </row>
    <row r="3" ht="16.5" customHeight="1">
      <c r="A3" s="2"/>
      <c r="B3" s="4"/>
      <c r="C3" s="6" t="s">
        <v>224</v>
      </c>
      <c r="D3" s="7"/>
      <c r="E3" s="92" t="s">
        <v>225</v>
      </c>
      <c r="F3" s="8"/>
      <c r="G3" s="9" t="s">
        <v>3</v>
      </c>
      <c r="H3" s="10">
        <f t="shared" ref="H3:P3" si="1">COLUMN(H3)-COLUMN($H$3)+1</f>
        <v>1</v>
      </c>
      <c r="I3" s="10">
        <f t="shared" si="1"/>
        <v>2</v>
      </c>
      <c r="J3" s="10">
        <f t="shared" si="1"/>
        <v>3</v>
      </c>
      <c r="K3" s="10">
        <f t="shared" si="1"/>
        <v>4</v>
      </c>
      <c r="L3" s="10">
        <f t="shared" si="1"/>
        <v>5</v>
      </c>
      <c r="M3" s="10">
        <f t="shared" si="1"/>
        <v>6</v>
      </c>
      <c r="N3" s="10">
        <f t="shared" si="1"/>
        <v>7</v>
      </c>
      <c r="O3" s="10">
        <f t="shared" si="1"/>
        <v>8</v>
      </c>
      <c r="P3" s="10">
        <f t="shared" si="1"/>
        <v>9</v>
      </c>
      <c r="Q3" s="5"/>
      <c r="R3" s="2"/>
    </row>
    <row r="4" ht="5.25" customHeight="1">
      <c r="A4" s="2"/>
      <c r="B4" s="5"/>
      <c r="C4" s="11"/>
      <c r="D4" s="8"/>
      <c r="E4" s="8"/>
      <c r="F4" s="8"/>
      <c r="G4" s="12"/>
      <c r="H4" s="4"/>
      <c r="I4" s="4"/>
      <c r="J4" s="4"/>
      <c r="K4" s="4"/>
      <c r="L4" s="4"/>
      <c r="M4" s="4"/>
      <c r="N4" s="4"/>
      <c r="O4" s="4"/>
      <c r="P4" s="4"/>
      <c r="Q4" s="8"/>
      <c r="R4" s="2"/>
    </row>
    <row r="5" ht="23.25" customHeight="1">
      <c r="A5" s="2"/>
      <c r="B5" s="5"/>
      <c r="C5" s="11"/>
      <c r="D5" s="8"/>
      <c r="E5" s="8"/>
      <c r="F5" s="8"/>
      <c r="G5" s="13" t="s">
        <v>4</v>
      </c>
      <c r="H5" s="14"/>
      <c r="I5" s="14"/>
      <c r="J5" s="14"/>
      <c r="K5" s="14"/>
      <c r="L5" s="14"/>
      <c r="M5" s="14"/>
      <c r="N5" s="14"/>
      <c r="O5" s="14"/>
      <c r="P5" s="15"/>
      <c r="Q5" s="8"/>
      <c r="R5" s="2"/>
    </row>
    <row r="6" ht="24.75" customHeight="1">
      <c r="A6" s="16"/>
      <c r="B6" s="17"/>
      <c r="C6" s="18"/>
      <c r="D6" s="19"/>
      <c r="E6" s="19"/>
      <c r="F6" s="19"/>
      <c r="G6" s="20" t="s">
        <v>5</v>
      </c>
      <c r="H6" s="21"/>
      <c r="I6" s="21"/>
      <c r="J6" s="21"/>
      <c r="K6" s="21"/>
      <c r="L6" s="21"/>
      <c r="M6" s="21"/>
      <c r="N6" s="21"/>
      <c r="O6" s="21"/>
      <c r="P6" s="21"/>
      <c r="Q6" s="19"/>
      <c r="R6" s="16"/>
    </row>
    <row r="7" ht="25.5" customHeight="1">
      <c r="A7" s="16"/>
      <c r="B7" s="17"/>
      <c r="C7" s="26" t="s">
        <v>8</v>
      </c>
      <c r="D7" s="27" t="s">
        <v>9</v>
      </c>
      <c r="E7" s="15"/>
      <c r="F7" s="19"/>
      <c r="G7" s="28" t="s">
        <v>10</v>
      </c>
      <c r="H7" s="29" t="s">
        <v>11</v>
      </c>
      <c r="I7" s="29" t="s">
        <v>136</v>
      </c>
      <c r="J7" s="29" t="s">
        <v>14</v>
      </c>
      <c r="K7" s="29" t="s">
        <v>15</v>
      </c>
      <c r="L7" s="29" t="s">
        <v>143</v>
      </c>
      <c r="M7" s="29" t="s">
        <v>230</v>
      </c>
      <c r="N7" s="29" t="s">
        <v>25</v>
      </c>
      <c r="O7" s="29" t="s">
        <v>21</v>
      </c>
      <c r="P7" s="29" t="s">
        <v>107</v>
      </c>
      <c r="Q7" s="19"/>
      <c r="R7" s="16"/>
    </row>
    <row r="8">
      <c r="A8" s="16"/>
      <c r="B8" s="19"/>
      <c r="C8" s="131">
        <v>5.0</v>
      </c>
      <c r="D8" s="133" t="s">
        <v>231</v>
      </c>
      <c r="E8" s="15"/>
      <c r="F8" s="32"/>
      <c r="G8" s="33" t="str">
        <f>C21</f>
        <v>Tổng ứng trước</v>
      </c>
      <c r="H8" s="34">
        <f t="shared" ref="H8:P8" si="2">round(sumif($D:$D,H7,$C:$C),0)</f>
        <v>465585</v>
      </c>
      <c r="I8" s="34">
        <f t="shared" si="2"/>
        <v>15000</v>
      </c>
      <c r="J8" s="34">
        <f t="shared" si="2"/>
        <v>231000</v>
      </c>
      <c r="K8" s="34">
        <f t="shared" si="2"/>
        <v>0</v>
      </c>
      <c r="L8" s="34">
        <f t="shared" si="2"/>
        <v>0</v>
      </c>
      <c r="M8" s="34">
        <f t="shared" si="2"/>
        <v>0</v>
      </c>
      <c r="N8" s="34">
        <f t="shared" si="2"/>
        <v>0</v>
      </c>
      <c r="O8" s="34">
        <f t="shared" si="2"/>
        <v>20000</v>
      </c>
      <c r="P8" s="34">
        <f t="shared" si="2"/>
        <v>260000</v>
      </c>
      <c r="Q8" s="19"/>
      <c r="R8" s="16"/>
    </row>
    <row r="9">
      <c r="A9" s="16"/>
      <c r="B9" s="19"/>
      <c r="C9" s="131">
        <v>6.0</v>
      </c>
      <c r="D9" s="31" t="s">
        <v>237</v>
      </c>
      <c r="E9" s="15"/>
      <c r="F9" s="32"/>
      <c r="G9" s="33" t="str">
        <f>G21</f>
        <v>Tổng chi phí</v>
      </c>
      <c r="H9" s="34">
        <f t="shared" ref="H9:P9" si="3">round(sum(H24:H31),0)</f>
        <v>158024</v>
      </c>
      <c r="I9" s="34">
        <f t="shared" si="3"/>
        <v>108024</v>
      </c>
      <c r="J9" s="34">
        <f t="shared" si="3"/>
        <v>108024</v>
      </c>
      <c r="K9" s="34">
        <f t="shared" si="3"/>
        <v>158024</v>
      </c>
      <c r="L9" s="34">
        <f t="shared" si="3"/>
        <v>39407</v>
      </c>
      <c r="M9" s="34">
        <f t="shared" si="3"/>
        <v>39407</v>
      </c>
      <c r="N9" s="34">
        <f t="shared" si="3"/>
        <v>39407</v>
      </c>
      <c r="O9" s="34">
        <f t="shared" si="3"/>
        <v>168024</v>
      </c>
      <c r="P9" s="34">
        <f t="shared" si="3"/>
        <v>173241</v>
      </c>
      <c r="Q9" s="19"/>
      <c r="R9" s="16"/>
    </row>
    <row r="10">
      <c r="A10" s="16"/>
      <c r="B10" s="19"/>
      <c r="C10" s="131">
        <v>5.0</v>
      </c>
      <c r="D10" s="31" t="s">
        <v>241</v>
      </c>
      <c r="E10" s="15"/>
      <c r="F10" s="36"/>
      <c r="G10" s="37" t="str">
        <f>G33</f>
        <v>Bù trừ nợ đợt trước</v>
      </c>
      <c r="H10" s="38">
        <f t="shared" ref="H10:P10" si="4">Sum(H35)</f>
        <v>0</v>
      </c>
      <c r="I10" s="38">
        <f t="shared" si="4"/>
        <v>0</v>
      </c>
      <c r="J10" s="38">
        <f t="shared" si="4"/>
        <v>0</v>
      </c>
      <c r="K10" s="38">
        <f t="shared" si="4"/>
        <v>51000</v>
      </c>
      <c r="L10" s="38">
        <f t="shared" si="4"/>
        <v>-317000</v>
      </c>
      <c r="M10" s="38">
        <f t="shared" si="4"/>
        <v>0</v>
      </c>
      <c r="N10" s="38">
        <f t="shared" si="4"/>
        <v>0</v>
      </c>
      <c r="O10" s="38">
        <f t="shared" si="4"/>
        <v>0</v>
      </c>
      <c r="P10" s="38">
        <f t="shared" si="4"/>
        <v>266000</v>
      </c>
      <c r="Q10" s="19"/>
      <c r="R10" s="16"/>
    </row>
    <row r="11">
      <c r="A11" s="16"/>
      <c r="B11" s="19"/>
      <c r="C11" s="131">
        <v>9.0</v>
      </c>
      <c r="D11" s="31" t="s">
        <v>244</v>
      </c>
      <c r="E11" s="15"/>
      <c r="F11" s="36"/>
      <c r="G11" s="39" t="s">
        <v>36</v>
      </c>
      <c r="H11" s="40">
        <f t="shared" ref="H11:P11" si="5">H8-H9-H10</f>
        <v>307561</v>
      </c>
      <c r="I11" s="40">
        <f t="shared" si="5"/>
        <v>-93024</v>
      </c>
      <c r="J11" s="40">
        <f t="shared" si="5"/>
        <v>122976</v>
      </c>
      <c r="K11" s="40">
        <f t="shared" si="5"/>
        <v>-209024</v>
      </c>
      <c r="L11" s="40">
        <f t="shared" si="5"/>
        <v>277593</v>
      </c>
      <c r="M11" s="40">
        <f t="shared" si="5"/>
        <v>-39407</v>
      </c>
      <c r="N11" s="40">
        <f t="shared" si="5"/>
        <v>-39407</v>
      </c>
      <c r="O11" s="40">
        <f t="shared" si="5"/>
        <v>-148024</v>
      </c>
      <c r="P11" s="40">
        <f t="shared" si="5"/>
        <v>-179241</v>
      </c>
      <c r="Q11" s="19"/>
      <c r="R11" s="16"/>
    </row>
    <row r="12" ht="6.0" customHeight="1">
      <c r="A12" s="41"/>
      <c r="B12" s="42"/>
      <c r="C12" s="43"/>
      <c r="D12" s="43"/>
      <c r="F12" s="42"/>
      <c r="G12" s="44"/>
      <c r="H12" s="45"/>
      <c r="I12" s="45"/>
      <c r="J12" s="45"/>
      <c r="K12" s="45"/>
      <c r="L12" s="45"/>
      <c r="M12" s="45"/>
      <c r="N12" s="45"/>
      <c r="O12" s="45"/>
      <c r="P12" s="45"/>
      <c r="Q12" s="42"/>
      <c r="R12" s="41"/>
    </row>
    <row r="13">
      <c r="A13" s="41"/>
      <c r="B13" s="42"/>
      <c r="F13" s="42"/>
      <c r="G13" s="46" t="s">
        <v>38</v>
      </c>
      <c r="H13" s="47" t="str">
        <f t="shared" ref="H13:P13" si="6">if(H11&lt;0,"Chuyển tiền","Nhận tiền")</f>
        <v>Nhận tiền</v>
      </c>
      <c r="I13" s="47" t="str">
        <f t="shared" si="6"/>
        <v>Chuyển tiền</v>
      </c>
      <c r="J13" s="47" t="str">
        <f t="shared" si="6"/>
        <v>Nhận tiền</v>
      </c>
      <c r="K13" s="47" t="str">
        <f t="shared" si="6"/>
        <v>Chuyển tiền</v>
      </c>
      <c r="L13" s="47" t="str">
        <f t="shared" si="6"/>
        <v>Nhận tiền</v>
      </c>
      <c r="M13" s="47" t="str">
        <f t="shared" si="6"/>
        <v>Chuyển tiền</v>
      </c>
      <c r="N13" s="47" t="str">
        <f t="shared" si="6"/>
        <v>Chuyển tiền</v>
      </c>
      <c r="O13" s="47" t="str">
        <f t="shared" si="6"/>
        <v>Chuyển tiền</v>
      </c>
      <c r="P13" s="47" t="str">
        <f t="shared" si="6"/>
        <v>Chuyển tiền</v>
      </c>
      <c r="Q13" s="42"/>
      <c r="R13" s="41"/>
    </row>
    <row r="14" ht="6.75" customHeight="1">
      <c r="A14" s="48"/>
      <c r="B14" s="49"/>
      <c r="C14" s="50"/>
      <c r="D14" s="50"/>
      <c r="E14" s="49"/>
      <c r="F14" s="49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49"/>
      <c r="R14" s="48"/>
    </row>
    <row r="15">
      <c r="A15" s="48"/>
      <c r="B15" s="49"/>
      <c r="C15" s="50"/>
      <c r="D15" s="50"/>
      <c r="E15" s="49"/>
      <c r="F15" s="49"/>
      <c r="G15" s="149" t="s">
        <v>248</v>
      </c>
      <c r="H15" s="150">
        <f>-sum(I15:P15)</f>
        <v>-309862</v>
      </c>
      <c r="I15" s="83">
        <v>93024.0</v>
      </c>
      <c r="J15" s="83">
        <v>-122976.0</v>
      </c>
      <c r="K15" s="83">
        <v>209000.0</v>
      </c>
      <c r="L15" s="83">
        <v>-277593.0</v>
      </c>
      <c r="M15" s="151">
        <v>39407.0</v>
      </c>
      <c r="N15" s="83">
        <v>40000.0</v>
      </c>
      <c r="O15" s="83">
        <v>149000.0</v>
      </c>
      <c r="P15" s="83">
        <v>180000.0</v>
      </c>
      <c r="Q15" s="49"/>
      <c r="R15" s="48"/>
    </row>
    <row r="16" ht="6.0" customHeight="1">
      <c r="A16" s="16"/>
      <c r="B16" s="19"/>
      <c r="C16" s="50"/>
      <c r="D16" s="5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6"/>
    </row>
    <row r="17">
      <c r="A17" s="16"/>
      <c r="B17" s="19"/>
      <c r="C17" s="50"/>
      <c r="D17" s="50"/>
      <c r="E17" s="19"/>
      <c r="F17" s="19"/>
      <c r="G17" s="51" t="s">
        <v>147</v>
      </c>
      <c r="H17" s="56">
        <f t="shared" ref="H17:P17" si="7">H11+H15</f>
        <v>-2301</v>
      </c>
      <c r="I17" s="56">
        <f t="shared" si="7"/>
        <v>0</v>
      </c>
      <c r="J17" s="56">
        <f t="shared" si="7"/>
        <v>0</v>
      </c>
      <c r="K17" s="56">
        <f t="shared" si="7"/>
        <v>-24</v>
      </c>
      <c r="L17" s="56">
        <f t="shared" si="7"/>
        <v>0</v>
      </c>
      <c r="M17" s="56">
        <f t="shared" si="7"/>
        <v>0</v>
      </c>
      <c r="N17" s="56">
        <f t="shared" si="7"/>
        <v>593</v>
      </c>
      <c r="O17" s="56">
        <f t="shared" si="7"/>
        <v>976</v>
      </c>
      <c r="P17" s="56">
        <f t="shared" si="7"/>
        <v>759</v>
      </c>
      <c r="Q17" s="19"/>
      <c r="R17" s="16"/>
    </row>
    <row r="18" ht="24.75" customHeight="1">
      <c r="A18" s="57"/>
      <c r="B18" s="58"/>
      <c r="C18" s="59"/>
      <c r="D18" s="59"/>
      <c r="E18" s="59"/>
      <c r="F18" s="60"/>
      <c r="G18" s="61" t="s">
        <v>42</v>
      </c>
      <c r="H18" s="62" t="str">
        <f>IF(AND(H17&gt;=-3000,H17&lt;=1000), "Done", "")</f>
        <v>Done</v>
      </c>
      <c r="I18" s="62" t="str">
        <f t="shared" ref="I18:J18" si="8">IF(AND(I17&gt;=0,I17&lt;=1000), "Done", "")</f>
        <v>Done</v>
      </c>
      <c r="J18" s="62" t="str">
        <f t="shared" si="8"/>
        <v>Done</v>
      </c>
      <c r="K18" s="62" t="str">
        <f>IF(AND(K17&gt;=-3000,K17&lt;=1000), "Done", "")</f>
        <v>Done</v>
      </c>
      <c r="L18" s="62" t="str">
        <f t="shared" ref="L18:P18" si="9">IF(AND(L17&gt;=0,L17&lt;=1000), "Done", "")</f>
        <v>Done</v>
      </c>
      <c r="M18" s="62" t="str">
        <f t="shared" si="9"/>
        <v>Done</v>
      </c>
      <c r="N18" s="62" t="str">
        <f t="shared" si="9"/>
        <v>Done</v>
      </c>
      <c r="O18" s="62" t="str">
        <f t="shared" si="9"/>
        <v>Done</v>
      </c>
      <c r="P18" s="62" t="str">
        <f t="shared" si="9"/>
        <v>Done</v>
      </c>
      <c r="Q18" s="19"/>
      <c r="R18" s="16"/>
    </row>
    <row r="19" ht="6.0" customHeight="1">
      <c r="A19" s="63"/>
      <c r="B19" s="64"/>
      <c r="C19" s="65"/>
      <c r="D19" s="65"/>
      <c r="E19" s="65"/>
      <c r="F19" s="65"/>
      <c r="G19" s="66"/>
      <c r="H19" s="66"/>
      <c r="I19" s="66"/>
      <c r="J19" s="67"/>
      <c r="K19" s="66"/>
      <c r="L19" s="66"/>
      <c r="M19" s="66"/>
      <c r="N19" s="66"/>
      <c r="O19" s="66"/>
      <c r="P19" s="66"/>
      <c r="Q19" s="8"/>
      <c r="R19" s="2"/>
    </row>
    <row r="20" ht="32.25" customHeight="1">
      <c r="A20" s="63"/>
      <c r="B20" s="64"/>
      <c r="C20" s="134" t="s">
        <v>43</v>
      </c>
      <c r="D20" s="59"/>
      <c r="E20" s="59"/>
      <c r="F20" s="69"/>
      <c r="G20" s="70"/>
      <c r="H20" s="70"/>
      <c r="I20" s="70"/>
      <c r="J20" s="71"/>
      <c r="K20" s="70"/>
      <c r="L20" s="70"/>
      <c r="M20" s="70"/>
      <c r="N20" s="70"/>
      <c r="O20" s="70"/>
      <c r="P20" s="70"/>
      <c r="Q20" s="8"/>
      <c r="R20" s="2"/>
    </row>
    <row r="21" ht="21.75" customHeight="1">
      <c r="A21" s="57"/>
      <c r="B21" s="58"/>
      <c r="C21" s="72" t="s">
        <v>44</v>
      </c>
      <c r="F21" s="60"/>
      <c r="G21" s="73" t="s">
        <v>45</v>
      </c>
      <c r="H21" s="14"/>
      <c r="I21" s="14"/>
      <c r="J21" s="14"/>
      <c r="K21" s="14"/>
      <c r="L21" s="14"/>
      <c r="M21" s="14"/>
      <c r="N21" s="14"/>
      <c r="O21" s="14"/>
      <c r="P21" s="15"/>
      <c r="Q21" s="19"/>
      <c r="R21" s="16"/>
    </row>
    <row r="22" ht="5.25" customHeight="1">
      <c r="A22" s="74"/>
      <c r="B22" s="74"/>
      <c r="C22" s="74"/>
      <c r="D22" s="74"/>
      <c r="E22" s="75"/>
      <c r="F22" s="76"/>
      <c r="G22" s="23"/>
      <c r="H22" s="21"/>
      <c r="I22" s="21"/>
      <c r="J22" s="21"/>
      <c r="K22" s="21"/>
      <c r="L22" s="21"/>
      <c r="M22" s="21"/>
      <c r="N22" s="21"/>
      <c r="O22" s="21"/>
      <c r="P22" s="21"/>
      <c r="Q22" s="17"/>
      <c r="R22" s="17"/>
    </row>
    <row r="23">
      <c r="A23" s="57"/>
      <c r="B23" s="58"/>
      <c r="C23" s="77" t="s">
        <v>46</v>
      </c>
      <c r="D23" s="77" t="s">
        <v>47</v>
      </c>
      <c r="E23" s="78" t="s">
        <v>48</v>
      </c>
      <c r="F23" s="79" t="s">
        <v>49</v>
      </c>
      <c r="G23" s="28" t="s">
        <v>50</v>
      </c>
      <c r="H23" s="29" t="str">
        <f t="shared" ref="H23:P23" si="10">H7</f>
        <v>Toàn</v>
      </c>
      <c r="I23" s="29" t="str">
        <f t="shared" si="10"/>
        <v>Trường</v>
      </c>
      <c r="J23" s="29" t="str">
        <f t="shared" si="10"/>
        <v>Tú</v>
      </c>
      <c r="K23" s="29" t="str">
        <f t="shared" si="10"/>
        <v>Kiên</v>
      </c>
      <c r="L23" s="29" t="str">
        <f t="shared" si="10"/>
        <v>Băng</v>
      </c>
      <c r="M23" s="29" t="str">
        <f t="shared" si="10"/>
        <v>Thủy</v>
      </c>
      <c r="N23" s="29" t="str">
        <f t="shared" si="10"/>
        <v>Diệp</v>
      </c>
      <c r="O23" s="29" t="str">
        <f t="shared" si="10"/>
        <v>Quân</v>
      </c>
      <c r="P23" s="29" t="str">
        <f t="shared" si="10"/>
        <v>Tiến</v>
      </c>
      <c r="Q23" s="80" t="s">
        <v>8</v>
      </c>
      <c r="R23" s="16"/>
    </row>
    <row r="24">
      <c r="A24" s="81"/>
      <c r="B24" s="82"/>
      <c r="C24" s="87">
        <v>250000.0</v>
      </c>
      <c r="D24" s="87" t="str">
        <f>H7</f>
        <v>Toàn</v>
      </c>
      <c r="E24" s="88"/>
      <c r="F24" s="84" t="b">
        <f t="shared" ref="F24:F31" si="12">C24=sum(H24:P24)</f>
        <v>1</v>
      </c>
      <c r="G24" s="33" t="s">
        <v>263</v>
      </c>
      <c r="H24" s="33">
        <f t="shared" ref="H24:P24" si="11">$C24/$C$11</f>
        <v>27777.77778</v>
      </c>
      <c r="I24" s="33">
        <f t="shared" si="11"/>
        <v>27777.77778</v>
      </c>
      <c r="J24" s="33">
        <f t="shared" si="11"/>
        <v>27777.77778</v>
      </c>
      <c r="K24" s="33">
        <f t="shared" si="11"/>
        <v>27777.77778</v>
      </c>
      <c r="L24" s="33">
        <f t="shared" si="11"/>
        <v>27777.77778</v>
      </c>
      <c r="M24" s="33">
        <f t="shared" si="11"/>
        <v>27777.77778</v>
      </c>
      <c r="N24" s="33">
        <f t="shared" si="11"/>
        <v>27777.77778</v>
      </c>
      <c r="O24" s="33">
        <f t="shared" si="11"/>
        <v>27777.77778</v>
      </c>
      <c r="P24" s="33">
        <f t="shared" si="11"/>
        <v>27777.77778</v>
      </c>
      <c r="Q24" s="42">
        <f t="shared" ref="Q24:Q31" si="14">COUNTIF(H24:P24,"&lt;&gt;0")</f>
        <v>9</v>
      </c>
      <c r="R24" s="16"/>
    </row>
    <row r="25">
      <c r="A25" s="81"/>
      <c r="B25" s="82"/>
      <c r="C25" s="87">
        <f>340000/12*2</f>
        <v>56666.66667</v>
      </c>
      <c r="D25" s="87" t="str">
        <f>H7</f>
        <v>Toàn</v>
      </c>
      <c r="E25" s="88" t="s">
        <v>55</v>
      </c>
      <c r="F25" s="84" t="b">
        <f t="shared" si="12"/>
        <v>1</v>
      </c>
      <c r="G25" s="33" t="s">
        <v>268</v>
      </c>
      <c r="H25" s="33">
        <f t="shared" ref="H25:P25" si="13">$C25/$C$11</f>
        <v>6296.296296</v>
      </c>
      <c r="I25" s="33">
        <f t="shared" si="13"/>
        <v>6296.296296</v>
      </c>
      <c r="J25" s="33">
        <f t="shared" si="13"/>
        <v>6296.296296</v>
      </c>
      <c r="K25" s="33">
        <f t="shared" si="13"/>
        <v>6296.296296</v>
      </c>
      <c r="L25" s="33">
        <f t="shared" si="13"/>
        <v>6296.296296</v>
      </c>
      <c r="M25" s="33">
        <f t="shared" si="13"/>
        <v>6296.296296</v>
      </c>
      <c r="N25" s="33">
        <f t="shared" si="13"/>
        <v>6296.296296</v>
      </c>
      <c r="O25" s="33">
        <f t="shared" si="13"/>
        <v>6296.296296</v>
      </c>
      <c r="P25" s="33">
        <f t="shared" si="13"/>
        <v>6296.296296</v>
      </c>
      <c r="Q25" s="42">
        <f t="shared" si="14"/>
        <v>9</v>
      </c>
      <c r="R25" s="16"/>
    </row>
    <row r="26">
      <c r="A26" s="81"/>
      <c r="B26" s="82"/>
      <c r="C26" s="87">
        <v>48000.0</v>
      </c>
      <c r="D26" s="87" t="str">
        <f>J7</f>
        <v>Tú</v>
      </c>
      <c r="E26" s="88"/>
      <c r="F26" s="84" t="b">
        <f t="shared" si="12"/>
        <v>1</v>
      </c>
      <c r="G26" s="33" t="s">
        <v>269</v>
      </c>
      <c r="H26" s="34">
        <f t="shared" ref="H26:P26" si="15">$C$26/$C$11</f>
        <v>5333.333333</v>
      </c>
      <c r="I26" s="34">
        <f t="shared" si="15"/>
        <v>5333.333333</v>
      </c>
      <c r="J26" s="34">
        <f t="shared" si="15"/>
        <v>5333.333333</v>
      </c>
      <c r="K26" s="34">
        <f t="shared" si="15"/>
        <v>5333.333333</v>
      </c>
      <c r="L26" s="34">
        <f t="shared" si="15"/>
        <v>5333.333333</v>
      </c>
      <c r="M26" s="34">
        <f t="shared" si="15"/>
        <v>5333.333333</v>
      </c>
      <c r="N26" s="34">
        <f t="shared" si="15"/>
        <v>5333.333333</v>
      </c>
      <c r="O26" s="34">
        <f t="shared" si="15"/>
        <v>5333.333333</v>
      </c>
      <c r="P26" s="34">
        <f t="shared" si="15"/>
        <v>5333.333333</v>
      </c>
      <c r="Q26" s="42">
        <f t="shared" si="14"/>
        <v>9</v>
      </c>
      <c r="R26" s="16"/>
    </row>
    <row r="27">
      <c r="A27" s="81"/>
      <c r="B27" s="82"/>
      <c r="C27" s="87">
        <v>158918.0</v>
      </c>
      <c r="D27" s="87" t="str">
        <f>H7</f>
        <v>Toàn</v>
      </c>
      <c r="E27" s="88" t="s">
        <v>270</v>
      </c>
      <c r="F27" s="84" t="b">
        <f t="shared" si="12"/>
        <v>1</v>
      </c>
      <c r="G27" s="33" t="s">
        <v>271</v>
      </c>
      <c r="H27" s="34">
        <f t="shared" ref="H27:K27" si="16">$C$27/$C$10</f>
        <v>31783.6</v>
      </c>
      <c r="I27" s="34">
        <f t="shared" si="16"/>
        <v>31783.6</v>
      </c>
      <c r="J27" s="34">
        <f t="shared" si="16"/>
        <v>31783.6</v>
      </c>
      <c r="K27" s="34">
        <f t="shared" si="16"/>
        <v>31783.6</v>
      </c>
      <c r="L27" s="33">
        <v>0.0</v>
      </c>
      <c r="M27" s="33">
        <v>0.0</v>
      </c>
      <c r="N27" s="33">
        <v>0.0</v>
      </c>
      <c r="O27" s="34">
        <f>$C$27/$C$10</f>
        <v>31783.6</v>
      </c>
      <c r="P27" s="33">
        <v>0.0</v>
      </c>
      <c r="Q27" s="42">
        <f t="shared" si="14"/>
        <v>5</v>
      </c>
      <c r="R27" s="16"/>
    </row>
    <row r="28">
      <c r="A28" s="81"/>
      <c r="B28" s="82"/>
      <c r="C28" s="87">
        <v>15000.0</v>
      </c>
      <c r="D28" s="87" t="str">
        <f>I7</f>
        <v>Trường</v>
      </c>
      <c r="E28" s="88" t="s">
        <v>270</v>
      </c>
      <c r="F28" s="84" t="b">
        <f t="shared" si="12"/>
        <v>1</v>
      </c>
      <c r="G28" s="33" t="s">
        <v>274</v>
      </c>
      <c r="H28" s="34">
        <f t="shared" ref="H28:K28" si="17">$C$28/$C$10</f>
        <v>3000</v>
      </c>
      <c r="I28" s="34">
        <f t="shared" si="17"/>
        <v>3000</v>
      </c>
      <c r="J28" s="34">
        <f t="shared" si="17"/>
        <v>3000</v>
      </c>
      <c r="K28" s="34">
        <f t="shared" si="17"/>
        <v>3000</v>
      </c>
      <c r="L28" s="33">
        <v>0.0</v>
      </c>
      <c r="M28" s="33">
        <v>0.0</v>
      </c>
      <c r="N28" s="33">
        <v>0.0</v>
      </c>
      <c r="O28" s="34">
        <f>$C$28/$C$10</f>
        <v>3000</v>
      </c>
      <c r="P28" s="33">
        <v>0.0</v>
      </c>
      <c r="Q28" s="42">
        <f t="shared" si="14"/>
        <v>5</v>
      </c>
      <c r="R28" s="16"/>
    </row>
    <row r="29">
      <c r="A29" s="81"/>
      <c r="B29" s="82"/>
      <c r="C29" s="87">
        <v>183000.0</v>
      </c>
      <c r="D29" s="87" t="str">
        <f>J7</f>
        <v>Tú</v>
      </c>
      <c r="E29" s="88" t="s">
        <v>270</v>
      </c>
      <c r="F29" s="84" t="b">
        <f t="shared" si="12"/>
        <v>1</v>
      </c>
      <c r="G29" s="33" t="s">
        <v>275</v>
      </c>
      <c r="H29" s="34">
        <f t="shared" ref="H29:K29" si="18">$C$29/$C$9</f>
        <v>30500</v>
      </c>
      <c r="I29" s="34">
        <f t="shared" si="18"/>
        <v>30500</v>
      </c>
      <c r="J29" s="34">
        <f t="shared" si="18"/>
        <v>30500</v>
      </c>
      <c r="K29" s="34">
        <f t="shared" si="18"/>
        <v>30500</v>
      </c>
      <c r="L29" s="33">
        <v>0.0</v>
      </c>
      <c r="M29" s="33">
        <v>0.0</v>
      </c>
      <c r="N29" s="33">
        <v>0.0</v>
      </c>
      <c r="O29" s="34">
        <f t="shared" ref="O29:P29" si="19">$C$29/$C$9</f>
        <v>30500</v>
      </c>
      <c r="P29" s="34">
        <f t="shared" si="19"/>
        <v>30500</v>
      </c>
      <c r="Q29" s="42">
        <f t="shared" si="14"/>
        <v>6</v>
      </c>
      <c r="R29" s="16"/>
    </row>
    <row r="30">
      <c r="A30" s="81"/>
      <c r="B30" s="82"/>
      <c r="C30" s="87">
        <v>20000.0</v>
      </c>
      <c r="D30" s="87" t="str">
        <f>O7</f>
        <v>Quân</v>
      </c>
      <c r="E30" s="88" t="s">
        <v>270</v>
      </c>
      <c r="F30" s="84" t="b">
        <f t="shared" si="12"/>
        <v>1</v>
      </c>
      <c r="G30" s="33" t="s">
        <v>276</v>
      </c>
      <c r="H30" s="34">
        <f t="shared" ref="H30:K30" si="20">$C$30/$C$9</f>
        <v>3333.333333</v>
      </c>
      <c r="I30" s="34">
        <f t="shared" si="20"/>
        <v>3333.333333</v>
      </c>
      <c r="J30" s="34">
        <f t="shared" si="20"/>
        <v>3333.333333</v>
      </c>
      <c r="K30" s="34">
        <f t="shared" si="20"/>
        <v>3333.333333</v>
      </c>
      <c r="L30" s="33">
        <v>0.0</v>
      </c>
      <c r="M30" s="33">
        <v>0.0</v>
      </c>
      <c r="N30" s="33">
        <v>0.0</v>
      </c>
      <c r="O30" s="34">
        <f t="shared" ref="O30:P30" si="21">$C$30/$C$9</f>
        <v>3333.333333</v>
      </c>
      <c r="P30" s="34">
        <f t="shared" si="21"/>
        <v>3333.333333</v>
      </c>
      <c r="Q30" s="42">
        <f t="shared" si="14"/>
        <v>6</v>
      </c>
      <c r="R30" s="16"/>
    </row>
    <row r="31">
      <c r="A31" s="81"/>
      <c r="B31" s="82"/>
      <c r="C31" s="87">
        <f>50000*4+60000</f>
        <v>260000</v>
      </c>
      <c r="D31" s="87" t="str">
        <f>P7</f>
        <v>Tiến</v>
      </c>
      <c r="E31" s="88" t="s">
        <v>277</v>
      </c>
      <c r="F31" s="84" t="b">
        <f t="shared" si="12"/>
        <v>1</v>
      </c>
      <c r="G31" s="33" t="s">
        <v>278</v>
      </c>
      <c r="H31" s="33">
        <v>50000.0</v>
      </c>
      <c r="I31" s="33">
        <v>0.0</v>
      </c>
      <c r="J31" s="33">
        <v>0.0</v>
      </c>
      <c r="K31" s="33">
        <v>50000.0</v>
      </c>
      <c r="L31" s="33">
        <v>0.0</v>
      </c>
      <c r="M31" s="33">
        <v>0.0</v>
      </c>
      <c r="N31" s="33">
        <v>0.0</v>
      </c>
      <c r="O31" s="33">
        <v>60000.0</v>
      </c>
      <c r="P31" s="33">
        <v>100000.0</v>
      </c>
      <c r="Q31" s="42">
        <f t="shared" si="14"/>
        <v>4</v>
      </c>
      <c r="R31" s="16"/>
    </row>
    <row r="32" ht="6.0" customHeight="1">
      <c r="A32" s="81"/>
      <c r="B32" s="82"/>
      <c r="C32" s="82"/>
      <c r="D32" s="82"/>
      <c r="E32" s="83"/>
      <c r="F32" s="84"/>
      <c r="G32" s="32"/>
      <c r="H32" s="19"/>
      <c r="I32" s="19"/>
      <c r="J32" s="19"/>
      <c r="K32" s="32"/>
      <c r="L32" s="19"/>
      <c r="M32" s="19"/>
      <c r="N32" s="32"/>
      <c r="O32" s="32"/>
      <c r="P32" s="32"/>
      <c r="Q32" s="19"/>
      <c r="R32" s="16"/>
    </row>
    <row r="33" ht="18.0" customHeight="1">
      <c r="A33" s="81"/>
      <c r="B33" s="82"/>
      <c r="C33" s="82"/>
      <c r="D33" s="82"/>
      <c r="E33" s="83"/>
      <c r="F33" s="84"/>
      <c r="G33" s="73" t="s">
        <v>68</v>
      </c>
      <c r="H33" s="14"/>
      <c r="I33" s="14"/>
      <c r="J33" s="14"/>
      <c r="K33" s="14"/>
      <c r="L33" s="14"/>
      <c r="M33" s="14"/>
      <c r="N33" s="14"/>
      <c r="O33" s="14"/>
      <c r="P33" s="15"/>
      <c r="Q33" s="19"/>
      <c r="R33" s="16"/>
    </row>
    <row r="34" ht="3.75" customHeight="1">
      <c r="A34" s="81"/>
      <c r="B34" s="82"/>
      <c r="C34" s="82"/>
      <c r="D34" s="82"/>
      <c r="E34" s="83"/>
      <c r="F34" s="84"/>
      <c r="G34" s="32"/>
      <c r="H34" s="19"/>
      <c r="I34" s="19"/>
      <c r="J34" s="19"/>
      <c r="K34" s="32"/>
      <c r="L34" s="19"/>
      <c r="M34" s="19"/>
      <c r="N34" s="32"/>
      <c r="O34" s="32"/>
      <c r="P34" s="32"/>
      <c r="Q34" s="19"/>
      <c r="R34" s="16"/>
    </row>
    <row r="35">
      <c r="A35" s="81"/>
      <c r="B35" s="82"/>
      <c r="C35" s="82"/>
      <c r="D35" s="82"/>
      <c r="E35" s="83"/>
      <c r="F35" s="84" t="b">
        <f>C35=sum(H35:P35)</f>
        <v>1</v>
      </c>
      <c r="G35" s="33" t="s">
        <v>280</v>
      </c>
      <c r="H35" s="34">
        <f t="shared" ref="H35:J35" si="22">$C$35/$C$10</f>
        <v>0</v>
      </c>
      <c r="I35" s="34">
        <f t="shared" si="22"/>
        <v>0</v>
      </c>
      <c r="J35" s="34">
        <f t="shared" si="22"/>
        <v>0</v>
      </c>
      <c r="K35" s="33">
        <v>51000.0</v>
      </c>
      <c r="L35" s="34">
        <f>-(K35+P35)</f>
        <v>-317000</v>
      </c>
      <c r="M35" s="34">
        <f>$C$35/$C$10</f>
        <v>0</v>
      </c>
      <c r="N35" s="33">
        <v>0.0</v>
      </c>
      <c r="O35" s="33">
        <v>0.0</v>
      </c>
      <c r="P35" s="33">
        <v>266000.0</v>
      </c>
      <c r="Q35" s="19"/>
      <c r="R35" s="16"/>
    </row>
    <row r="36">
      <c r="A36" s="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2"/>
    </row>
    <row r="37" ht="19.5" customHeight="1">
      <c r="A37" s="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1">
    <mergeCell ref="D12:E12"/>
    <mergeCell ref="C21:E21"/>
    <mergeCell ref="G21:P21"/>
    <mergeCell ref="G33:P33"/>
    <mergeCell ref="C3:D3"/>
    <mergeCell ref="G5:P5"/>
    <mergeCell ref="D7:E7"/>
    <mergeCell ref="D8:E8"/>
    <mergeCell ref="D9:E9"/>
    <mergeCell ref="D10:E10"/>
    <mergeCell ref="D11:E11"/>
  </mergeCells>
  <conditionalFormatting sqref="A12:B13 F12:R12 F13:R13">
    <cfRule type="containsText" dxfId="0" priority="1" operator="containsText" text="Chuyển tiền">
      <formula>NOT(ISERROR(SEARCH(("Chuyển tiền"),(A12))))</formula>
    </cfRule>
  </conditionalFormatting>
  <conditionalFormatting sqref="A12:B13 F12:R12 F13:R13">
    <cfRule type="containsText" dxfId="1" priority="2" operator="containsText" text="Nhận tiền">
      <formula>NOT(ISERROR(SEARCH(("Nhận tiền"),(A12))))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3" width="10.5"/>
    <col customWidth="1" min="4" max="4" width="9.75"/>
    <col customWidth="1" min="5" max="5" width="9.5"/>
    <col customWidth="1" min="6" max="6" width="9.88"/>
    <col customWidth="1" min="7" max="7" width="19.38"/>
    <col customWidth="1" min="10" max="10" width="13.75"/>
    <col customWidth="1" min="11" max="11" width="13.5"/>
    <col customWidth="1" min="13" max="13" width="11.75"/>
    <col customWidth="1" min="14" max="14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2"/>
    </row>
    <row r="3">
      <c r="A3" s="2"/>
      <c r="B3" s="4"/>
      <c r="C3" s="120" t="s">
        <v>221</v>
      </c>
      <c r="E3" s="8"/>
      <c r="F3" s="8"/>
      <c r="G3" s="8"/>
      <c r="H3" s="10">
        <v>1.0</v>
      </c>
      <c r="I3" s="10">
        <v>2.0</v>
      </c>
      <c r="J3" s="10">
        <v>3.0</v>
      </c>
      <c r="K3" s="10">
        <v>4.0</v>
      </c>
      <c r="L3" s="10">
        <v>5.0</v>
      </c>
      <c r="M3" s="5"/>
      <c r="N3" s="2"/>
    </row>
    <row r="4">
      <c r="A4" s="2"/>
      <c r="B4" s="5"/>
      <c r="C4" s="11" t="s">
        <v>223</v>
      </c>
      <c r="D4" s="8"/>
      <c r="E4" s="8"/>
      <c r="F4" s="8"/>
      <c r="G4" s="121"/>
      <c r="H4" s="122" t="s">
        <v>11</v>
      </c>
      <c r="I4" s="122" t="s">
        <v>14</v>
      </c>
      <c r="J4" s="122" t="s">
        <v>12</v>
      </c>
      <c r="K4" s="122" t="s">
        <v>15</v>
      </c>
      <c r="L4" s="122" t="s">
        <v>143</v>
      </c>
      <c r="M4" s="8"/>
      <c r="N4" s="2"/>
    </row>
    <row r="5">
      <c r="A5" s="2"/>
      <c r="B5" s="8"/>
      <c r="C5" s="8"/>
      <c r="D5" s="8"/>
      <c r="E5" s="8"/>
      <c r="F5" s="92"/>
      <c r="G5" s="123" t="s">
        <v>226</v>
      </c>
      <c r="H5" s="124">
        <f t="shared" ref="H5:L5" si="1">round(sumif($D:$D,H4,$C:$C),0)</f>
        <v>56667</v>
      </c>
      <c r="I5" s="124">
        <f t="shared" si="1"/>
        <v>200000</v>
      </c>
      <c r="J5" s="124">
        <f t="shared" si="1"/>
        <v>0</v>
      </c>
      <c r="K5" s="124">
        <f t="shared" si="1"/>
        <v>0</v>
      </c>
      <c r="L5" s="124">
        <f t="shared" si="1"/>
        <v>171000</v>
      </c>
      <c r="M5" s="8"/>
      <c r="N5" s="2"/>
    </row>
    <row r="6">
      <c r="A6" s="2"/>
      <c r="B6" s="8"/>
      <c r="C6" s="8"/>
      <c r="D6" s="8"/>
      <c r="E6" s="8"/>
      <c r="F6" s="92"/>
      <c r="G6" s="123" t="s">
        <v>227</v>
      </c>
      <c r="H6" s="124">
        <f t="shared" ref="H6:L6" si="2">round(sum(H13:H16),0)</f>
        <v>86333</v>
      </c>
      <c r="I6" s="124">
        <f t="shared" si="2"/>
        <v>0</v>
      </c>
      <c r="J6" s="124">
        <f t="shared" si="2"/>
        <v>170667</v>
      </c>
      <c r="K6" s="124">
        <f t="shared" si="2"/>
        <v>84333</v>
      </c>
      <c r="L6" s="124">
        <f t="shared" si="2"/>
        <v>84333</v>
      </c>
      <c r="M6" s="8"/>
      <c r="N6" s="2"/>
    </row>
    <row r="7">
      <c r="A7" s="2"/>
      <c r="B7" s="8"/>
      <c r="C7" s="8"/>
      <c r="D7" s="8"/>
      <c r="E7" s="92"/>
      <c r="F7" s="125"/>
      <c r="G7" s="126" t="s">
        <v>228</v>
      </c>
      <c r="H7" s="127">
        <f>H5-H6</f>
        <v>-29666</v>
      </c>
      <c r="I7" s="127"/>
      <c r="J7" s="127">
        <f t="shared" ref="J7:L7" si="3">J5-J6</f>
        <v>-170667</v>
      </c>
      <c r="K7" s="127">
        <f t="shared" si="3"/>
        <v>-84333</v>
      </c>
      <c r="L7" s="127">
        <f t="shared" si="3"/>
        <v>86667</v>
      </c>
      <c r="M7" s="8"/>
      <c r="N7" s="2"/>
    </row>
    <row r="8">
      <c r="A8" s="128"/>
      <c r="B8" s="129"/>
      <c r="C8" s="12"/>
      <c r="D8" s="130"/>
      <c r="E8" s="129"/>
      <c r="F8" s="129"/>
      <c r="G8" s="132"/>
      <c r="H8" s="135" t="str">
        <f t="shared" ref="H8:L8" si="4">if(H7&lt;0,"Chuyển tiền","Nhận tiền")</f>
        <v>Chuyển tiền</v>
      </c>
      <c r="I8" s="135" t="str">
        <f t="shared" si="4"/>
        <v>Nhận tiền</v>
      </c>
      <c r="J8" s="135" t="str">
        <f t="shared" si="4"/>
        <v>Chuyển tiền</v>
      </c>
      <c r="K8" s="135" t="str">
        <f t="shared" si="4"/>
        <v>Chuyển tiền</v>
      </c>
      <c r="L8" s="135" t="str">
        <f t="shared" si="4"/>
        <v>Nhận tiền</v>
      </c>
      <c r="M8" s="129"/>
      <c r="N8" s="128"/>
    </row>
    <row r="9">
      <c r="A9" s="136"/>
      <c r="B9" s="137"/>
      <c r="C9" s="12"/>
      <c r="D9" s="138"/>
      <c r="E9" s="137"/>
      <c r="F9" s="137"/>
      <c r="G9" s="139"/>
      <c r="H9" s="139" t="s">
        <v>232</v>
      </c>
      <c r="I9" s="139" t="s">
        <v>232</v>
      </c>
      <c r="J9" s="139" t="s">
        <v>233</v>
      </c>
      <c r="K9" s="139" t="s">
        <v>234</v>
      </c>
      <c r="L9" s="139" t="s">
        <v>232</v>
      </c>
      <c r="M9" s="137"/>
      <c r="N9" s="136"/>
    </row>
    <row r="10">
      <c r="A10" s="136"/>
      <c r="B10" s="137"/>
      <c r="C10" s="12"/>
      <c r="D10" s="138"/>
      <c r="E10" s="137"/>
      <c r="F10" s="137"/>
      <c r="G10" s="139" t="s">
        <v>42</v>
      </c>
      <c r="H10" s="139"/>
      <c r="I10" s="139"/>
      <c r="L10" s="139"/>
      <c r="M10" s="137"/>
      <c r="N10" s="136"/>
    </row>
    <row r="11">
      <c r="A11" s="2"/>
      <c r="B11" s="8"/>
      <c r="C11" s="140">
        <v>5.0</v>
      </c>
      <c r="D11" s="138" t="s">
        <v>235</v>
      </c>
      <c r="E11" s="8"/>
      <c r="F11" s="8"/>
      <c r="G11" s="8"/>
      <c r="H11" s="8"/>
      <c r="I11" s="8"/>
      <c r="J11" s="8"/>
      <c r="K11" s="8"/>
      <c r="L11" s="8"/>
      <c r="M11" s="8"/>
      <c r="N11" s="2"/>
    </row>
    <row r="12">
      <c r="A12" s="63"/>
      <c r="B12" s="64"/>
      <c r="C12" s="141" t="s">
        <v>236</v>
      </c>
      <c r="D12" s="141" t="s">
        <v>238</v>
      </c>
      <c r="E12" s="142" t="s">
        <v>239</v>
      </c>
      <c r="F12" s="69" t="s">
        <v>49</v>
      </c>
      <c r="G12" s="143" t="s">
        <v>240</v>
      </c>
      <c r="H12" s="122" t="str">
        <f t="shared" ref="H12:L12" si="5">H4</f>
        <v>Toàn</v>
      </c>
      <c r="I12" s="122" t="str">
        <f t="shared" si="5"/>
        <v>Tú</v>
      </c>
      <c r="J12" s="122" t="str">
        <f t="shared" si="5"/>
        <v>Trường + Thủy</v>
      </c>
      <c r="K12" s="122" t="str">
        <f t="shared" si="5"/>
        <v>Kiên</v>
      </c>
      <c r="L12" s="122" t="str">
        <f t="shared" si="5"/>
        <v>Băng</v>
      </c>
      <c r="M12" s="8"/>
      <c r="N12" s="2"/>
    </row>
    <row r="13">
      <c r="A13" s="144"/>
      <c r="B13" s="145"/>
      <c r="C13" s="146">
        <v>200000.0</v>
      </c>
      <c r="D13" s="146" t="s">
        <v>14</v>
      </c>
      <c r="E13" s="147"/>
      <c r="F13" s="139" t="b">
        <f>C13=sum(H13:L13)</f>
        <v>1</v>
      </c>
      <c r="G13" s="123" t="s">
        <v>242</v>
      </c>
      <c r="H13" s="123">
        <f t="shared" ref="H13:H14" si="7">$C13/$C$11</f>
        <v>40000</v>
      </c>
      <c r="I13" s="123">
        <v>0.0</v>
      </c>
      <c r="J13" s="123">
        <v>80000.0</v>
      </c>
      <c r="K13" s="123">
        <f t="shared" ref="K13:L13" si="6">$C13/$C$11</f>
        <v>40000</v>
      </c>
      <c r="L13" s="123">
        <f t="shared" si="6"/>
        <v>40000</v>
      </c>
      <c r="M13" s="8"/>
      <c r="N13" s="2"/>
    </row>
    <row r="14">
      <c r="A14" s="144"/>
      <c r="B14" s="145"/>
      <c r="C14" s="146">
        <f>round(340000/12*2,0)</f>
        <v>56667</v>
      </c>
      <c r="D14" s="146" t="str">
        <f>H4</f>
        <v>Toàn</v>
      </c>
      <c r="E14" s="147"/>
      <c r="F14" s="139" t="b">
        <f>C14=round(sum(H14:L14),0)</f>
        <v>1</v>
      </c>
      <c r="G14" s="123" t="s">
        <v>245</v>
      </c>
      <c r="H14" s="123">
        <f t="shared" si="7"/>
        <v>11333.4</v>
      </c>
      <c r="I14" s="123">
        <v>0.0</v>
      </c>
      <c r="J14" s="123">
        <f>$C14/$C$11*2</f>
        <v>22666.8</v>
      </c>
      <c r="K14" s="123">
        <f t="shared" ref="K14:L14" si="8">$C14/$C$11</f>
        <v>11333.4</v>
      </c>
      <c r="L14" s="123">
        <f t="shared" si="8"/>
        <v>11333.4</v>
      </c>
      <c r="M14" s="8"/>
      <c r="N14" s="2"/>
    </row>
    <row r="15">
      <c r="A15" s="144"/>
      <c r="B15" s="145"/>
      <c r="C15" s="146">
        <v>171000.0</v>
      </c>
      <c r="D15" s="146" t="str">
        <f>L4</f>
        <v>Băng</v>
      </c>
      <c r="E15" s="147"/>
      <c r="F15" s="139" t="b">
        <f>C15-2000=sum(H15:L15)</f>
        <v>1</v>
      </c>
      <c r="G15" s="123" t="s">
        <v>247</v>
      </c>
      <c r="H15" s="123">
        <v>35000.0</v>
      </c>
      <c r="I15" s="123">
        <v>0.0</v>
      </c>
      <c r="J15" s="123">
        <f>35000+33000</f>
        <v>68000</v>
      </c>
      <c r="K15" s="123">
        <v>33000.0</v>
      </c>
      <c r="L15" s="123">
        <v>33000.0</v>
      </c>
      <c r="M15" s="8"/>
      <c r="N15" s="2"/>
    </row>
    <row r="16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"/>
    </row>
    <row r="17" ht="19.5" customHeight="1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">
    <mergeCell ref="C3:D3"/>
  </mergeCells>
  <conditionalFormatting sqref="A8:B8 E8:N8">
    <cfRule type="containsText" dxfId="0" priority="1" operator="containsText" text="Chuyển tiền">
      <formula>NOT(ISERROR(SEARCH(("Chuyển tiền"),(A8))))</formula>
    </cfRule>
  </conditionalFormatting>
  <conditionalFormatting sqref="A8:B8 E8:N8">
    <cfRule type="containsText" dxfId="1" priority="2" operator="containsText" text="Nhận tiền">
      <formula>NOT(ISERROR(SEARCH(("Nhận tiền"),(A8))))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3" width="10.5"/>
    <col customWidth="1" min="4" max="4" width="9.75"/>
    <col customWidth="1" min="5" max="5" width="16.5"/>
    <col customWidth="1" min="6" max="6" width="9.88"/>
    <col customWidth="1" min="7" max="7" width="19.38"/>
    <col customWidth="1" min="12" max="12" width="11.75"/>
    <col customWidth="1" min="13" max="13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5"/>
      <c r="M2" s="2"/>
    </row>
    <row r="3">
      <c r="A3" s="2"/>
      <c r="B3" s="4"/>
      <c r="C3" s="120" t="s">
        <v>221</v>
      </c>
      <c r="E3" s="8"/>
      <c r="F3" s="8"/>
      <c r="G3" s="8"/>
      <c r="H3" s="10">
        <v>1.0</v>
      </c>
      <c r="I3" s="10">
        <v>2.0</v>
      </c>
      <c r="J3" s="10">
        <v>3.0</v>
      </c>
      <c r="K3" s="10">
        <v>4.0</v>
      </c>
      <c r="L3" s="5"/>
      <c r="M3" s="2"/>
    </row>
    <row r="4">
      <c r="A4" s="2"/>
      <c r="B4" s="5"/>
      <c r="C4" s="11" t="s">
        <v>223</v>
      </c>
      <c r="D4" s="8"/>
      <c r="E4" s="8"/>
      <c r="F4" s="8"/>
      <c r="G4" s="121"/>
      <c r="H4" s="122" t="s">
        <v>11</v>
      </c>
      <c r="I4" s="122" t="s">
        <v>14</v>
      </c>
      <c r="J4" s="122" t="s">
        <v>15</v>
      </c>
      <c r="K4" s="122" t="s">
        <v>143</v>
      </c>
      <c r="L4" s="8"/>
      <c r="M4" s="2"/>
    </row>
    <row r="5">
      <c r="A5" s="2"/>
      <c r="B5" s="8"/>
      <c r="C5" s="8"/>
      <c r="D5" s="8"/>
      <c r="E5" s="8"/>
      <c r="F5" s="92"/>
      <c r="G5" s="123" t="s">
        <v>226</v>
      </c>
      <c r="H5" s="124">
        <f t="shared" ref="H5:K5" si="1">round(sumif($D:$D,H4,$C:$C),0)</f>
        <v>261667</v>
      </c>
      <c r="I5" s="124">
        <f t="shared" si="1"/>
        <v>160000</v>
      </c>
      <c r="J5" s="124">
        <f t="shared" si="1"/>
        <v>0</v>
      </c>
      <c r="K5" s="124">
        <f t="shared" si="1"/>
        <v>0</v>
      </c>
      <c r="L5" s="8"/>
      <c r="M5" s="2"/>
    </row>
    <row r="6">
      <c r="A6" s="2"/>
      <c r="B6" s="8"/>
      <c r="C6" s="8"/>
      <c r="D6" s="8"/>
      <c r="E6" s="8"/>
      <c r="F6" s="92"/>
      <c r="G6" s="123" t="s">
        <v>227</v>
      </c>
      <c r="H6" s="124">
        <f t="shared" ref="H6:K6" si="2">round(sum(H12:H20),0)</f>
        <v>100834</v>
      </c>
      <c r="I6" s="124">
        <f t="shared" si="2"/>
        <v>89334</v>
      </c>
      <c r="J6" s="124">
        <f t="shared" si="2"/>
        <v>177334</v>
      </c>
      <c r="K6" s="124">
        <f t="shared" si="2"/>
        <v>54167</v>
      </c>
      <c r="L6" s="8"/>
      <c r="M6" s="2"/>
    </row>
    <row r="7">
      <c r="A7" s="2"/>
      <c r="B7" s="8"/>
      <c r="C7" s="8"/>
      <c r="D7" s="8"/>
      <c r="E7" s="92"/>
      <c r="F7" s="125"/>
      <c r="G7" s="126" t="s">
        <v>228</v>
      </c>
      <c r="H7" s="127">
        <f t="shared" ref="H7:K7" si="3">H5-H6</f>
        <v>160833</v>
      </c>
      <c r="I7" s="127">
        <f t="shared" si="3"/>
        <v>70666</v>
      </c>
      <c r="J7" s="127">
        <f t="shared" si="3"/>
        <v>-177334</v>
      </c>
      <c r="K7" s="127">
        <f t="shared" si="3"/>
        <v>-54167</v>
      </c>
      <c r="L7" s="8"/>
      <c r="M7" s="2"/>
    </row>
    <row r="8">
      <c r="A8" s="128"/>
      <c r="B8" s="129"/>
      <c r="C8" s="12"/>
      <c r="D8" s="130"/>
      <c r="E8" s="129"/>
      <c r="F8" s="129"/>
      <c r="G8" s="132"/>
      <c r="H8" s="135" t="str">
        <f t="shared" ref="H8:K8" si="4">if(H7&lt;0,"Chuyển tiền","Nhận tiền")</f>
        <v>Nhận tiền</v>
      </c>
      <c r="I8" s="135" t="str">
        <f t="shared" si="4"/>
        <v>Nhận tiền</v>
      </c>
      <c r="J8" s="135" t="str">
        <f t="shared" si="4"/>
        <v>Chuyển tiền</v>
      </c>
      <c r="K8" s="135" t="str">
        <f t="shared" si="4"/>
        <v>Chuyển tiền</v>
      </c>
      <c r="L8" s="129"/>
      <c r="M8" s="128"/>
    </row>
    <row r="9">
      <c r="A9" s="136"/>
      <c r="B9" s="137"/>
      <c r="C9" s="12"/>
      <c r="D9" s="138"/>
      <c r="E9" s="137"/>
      <c r="F9" s="137"/>
      <c r="G9" s="139" t="s">
        <v>42</v>
      </c>
      <c r="H9" s="139" t="s">
        <v>223</v>
      </c>
      <c r="I9" s="139" t="s">
        <v>250</v>
      </c>
      <c r="J9" s="139" t="s">
        <v>223</v>
      </c>
      <c r="K9" s="139" t="s">
        <v>223</v>
      </c>
      <c r="L9" s="137"/>
      <c r="M9" s="136"/>
    </row>
    <row r="10">
      <c r="A10" s="2"/>
      <c r="B10" s="8"/>
      <c r="C10" s="140">
        <v>4.0</v>
      </c>
      <c r="D10" s="138" t="s">
        <v>235</v>
      </c>
      <c r="E10" s="8"/>
      <c r="F10" s="8"/>
      <c r="G10" s="8"/>
      <c r="H10" s="8"/>
      <c r="I10" s="8"/>
      <c r="J10" s="8"/>
      <c r="K10" s="8"/>
      <c r="L10" s="8"/>
      <c r="M10" s="2"/>
    </row>
    <row r="11">
      <c r="A11" s="63"/>
      <c r="B11" s="64"/>
      <c r="C11" s="141" t="s">
        <v>236</v>
      </c>
      <c r="D11" s="141" t="s">
        <v>238</v>
      </c>
      <c r="E11" s="142" t="s">
        <v>239</v>
      </c>
      <c r="F11" s="69" t="s">
        <v>49</v>
      </c>
      <c r="G11" s="143" t="s">
        <v>240</v>
      </c>
      <c r="H11" s="122" t="str">
        <f t="shared" ref="H11:K11" si="5">H4</f>
        <v>Toàn</v>
      </c>
      <c r="I11" s="122" t="str">
        <f t="shared" si="5"/>
        <v>Tú</v>
      </c>
      <c r="J11" s="122" t="str">
        <f t="shared" si="5"/>
        <v>Kiên</v>
      </c>
      <c r="K11" s="122" t="str">
        <f t="shared" si="5"/>
        <v>Băng</v>
      </c>
      <c r="L11" s="8"/>
      <c r="M11" s="2"/>
    </row>
    <row r="12">
      <c r="A12" s="144"/>
      <c r="B12" s="145"/>
      <c r="C12" s="146">
        <v>160000.0</v>
      </c>
      <c r="D12" s="146" t="str">
        <f>I4</f>
        <v>Tú</v>
      </c>
      <c r="E12" s="147"/>
      <c r="F12" s="139" t="b">
        <f>C12=sum(H12:K12)</f>
        <v>1</v>
      </c>
      <c r="G12" s="123" t="s">
        <v>242</v>
      </c>
      <c r="H12" s="123">
        <f t="shared" ref="H12:K12" si="6">$C12/$C$10</f>
        <v>40000</v>
      </c>
      <c r="I12" s="123">
        <f t="shared" si="6"/>
        <v>40000</v>
      </c>
      <c r="J12" s="123">
        <f t="shared" si="6"/>
        <v>40000</v>
      </c>
      <c r="K12" s="123">
        <f t="shared" si="6"/>
        <v>40000</v>
      </c>
      <c r="L12" s="8"/>
      <c r="M12" s="2"/>
    </row>
    <row r="13">
      <c r="A13" s="144"/>
      <c r="B13" s="145"/>
      <c r="C13" s="146">
        <f>340000/12*2</f>
        <v>56666.66667</v>
      </c>
      <c r="D13" s="146" t="str">
        <f>H4</f>
        <v>Toàn</v>
      </c>
      <c r="E13" s="147" t="s">
        <v>55</v>
      </c>
      <c r="F13" s="139" t="b">
        <f t="shared" ref="F13:F14" si="8">C13=sum(H13:M13)</f>
        <v>1</v>
      </c>
      <c r="G13" s="123" t="s">
        <v>245</v>
      </c>
      <c r="H13" s="123">
        <f t="shared" ref="H13:K13" si="7">$C13/$C$10</f>
        <v>14166.66667</v>
      </c>
      <c r="I13" s="123">
        <f t="shared" si="7"/>
        <v>14166.66667</v>
      </c>
      <c r="J13" s="123">
        <f t="shared" si="7"/>
        <v>14166.66667</v>
      </c>
      <c r="K13" s="123">
        <f t="shared" si="7"/>
        <v>14166.66667</v>
      </c>
      <c r="L13" s="8"/>
      <c r="M13" s="2"/>
    </row>
    <row r="14">
      <c r="A14" s="144"/>
      <c r="B14" s="145"/>
      <c r="C14" s="146">
        <v>45000.0</v>
      </c>
      <c r="D14" s="146" t="str">
        <f>H4</f>
        <v>Toàn</v>
      </c>
      <c r="E14" s="147"/>
      <c r="F14" s="139" t="b">
        <f t="shared" si="8"/>
        <v>1</v>
      </c>
      <c r="G14" s="123" t="s">
        <v>257</v>
      </c>
      <c r="H14" s="123">
        <f t="shared" ref="H14:J14" si="9">$C14/($C$10-1)</f>
        <v>15000</v>
      </c>
      <c r="I14" s="123">
        <f t="shared" si="9"/>
        <v>15000</v>
      </c>
      <c r="J14" s="123">
        <f t="shared" si="9"/>
        <v>15000</v>
      </c>
      <c r="K14" s="123">
        <v>0.0</v>
      </c>
      <c r="L14" s="8"/>
      <c r="M14" s="2"/>
    </row>
    <row r="15">
      <c r="A15" s="144"/>
      <c r="B15" s="145"/>
      <c r="C15" s="146">
        <v>0.0</v>
      </c>
      <c r="D15" s="146"/>
      <c r="E15" s="147" t="s">
        <v>258</v>
      </c>
      <c r="F15" s="139" t="b">
        <f>C15=sum(H15:K15)-1</f>
        <v>1</v>
      </c>
      <c r="G15" s="123" t="s">
        <v>259</v>
      </c>
      <c r="H15" s="124">
        <f>-'274'!H7</f>
        <v>-216333</v>
      </c>
      <c r="I15" s="124">
        <f>-'274'!I7</f>
        <v>108167</v>
      </c>
      <c r="J15" s="124">
        <f>-'274'!J7</f>
        <v>108167</v>
      </c>
      <c r="K15" s="123">
        <v>0.0</v>
      </c>
      <c r="L15" s="8"/>
      <c r="M15" s="2"/>
    </row>
    <row r="16">
      <c r="A16" s="144"/>
      <c r="B16" s="145"/>
      <c r="C16" s="146">
        <v>160000.0</v>
      </c>
      <c r="D16" s="146" t="str">
        <f>H4</f>
        <v>Toàn</v>
      </c>
      <c r="E16" s="147"/>
      <c r="F16" s="139" t="b">
        <f>C16=sum(H16:K16)</f>
        <v>1</v>
      </c>
      <c r="G16" s="123" t="s">
        <v>261</v>
      </c>
      <c r="H16" s="124">
        <f t="shared" ref="H16:I16" si="10">$C$16/2</f>
        <v>80000</v>
      </c>
      <c r="I16" s="124">
        <f t="shared" si="10"/>
        <v>80000</v>
      </c>
      <c r="J16" s="123">
        <v>0.0</v>
      </c>
      <c r="K16" s="123">
        <v>0.0</v>
      </c>
      <c r="L16" s="8"/>
      <c r="M16" s="2"/>
    </row>
    <row r="17">
      <c r="A17" s="144"/>
      <c r="B17" s="145"/>
      <c r="C17" s="146"/>
      <c r="D17" s="146"/>
      <c r="E17" s="147"/>
      <c r="F17" s="139"/>
      <c r="G17" s="123" t="s">
        <v>264</v>
      </c>
      <c r="H17" s="123">
        <v>90000.0</v>
      </c>
      <c r="I17" s="123">
        <v>-90000.0</v>
      </c>
      <c r="J17" s="123"/>
      <c r="K17" s="123"/>
      <c r="L17" s="8"/>
      <c r="M17" s="2"/>
    </row>
    <row r="18">
      <c r="A18" s="144"/>
      <c r="B18" s="145"/>
      <c r="C18" s="146"/>
      <c r="D18" s="146"/>
      <c r="E18" s="147"/>
      <c r="F18" s="139"/>
      <c r="G18" s="123" t="s">
        <v>264</v>
      </c>
      <c r="H18" s="123">
        <v>-72000.0</v>
      </c>
      <c r="I18" s="123">
        <v>72000.0</v>
      </c>
      <c r="J18" s="123"/>
      <c r="K18" s="123"/>
      <c r="L18" s="8"/>
      <c r="M18" s="2"/>
    </row>
    <row r="19">
      <c r="A19" s="144"/>
      <c r="B19" s="145"/>
      <c r="C19" s="146"/>
      <c r="D19" s="146"/>
      <c r="E19" s="147"/>
      <c r="F19" s="139" t="b">
        <f>C19=sum(H19:K19)</f>
        <v>1</v>
      </c>
      <c r="G19" s="123" t="s">
        <v>265</v>
      </c>
      <c r="H19" s="123">
        <v>150000.0</v>
      </c>
      <c r="I19" s="123">
        <v>-150000.0</v>
      </c>
      <c r="J19" s="123">
        <v>0.0</v>
      </c>
      <c r="K19" s="123">
        <v>0.0</v>
      </c>
      <c r="L19" s="8"/>
      <c r="M19" s="2"/>
    </row>
    <row r="20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2"/>
    </row>
    <row r="21" ht="19.5" customHeight="1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mergeCells count="1">
    <mergeCell ref="C3:D3"/>
  </mergeCells>
  <conditionalFormatting sqref="A8:B8 E8:M8">
    <cfRule type="containsText" dxfId="0" priority="1" operator="containsText" text="Chuyển tiền">
      <formula>NOT(ISERROR(SEARCH(("Chuyển tiền"),(A8))))</formula>
    </cfRule>
  </conditionalFormatting>
  <conditionalFormatting sqref="A8:B8 E8:M8">
    <cfRule type="containsText" dxfId="1" priority="2" operator="containsText" text="Nhận tiền">
      <formula>NOT(ISERROR(SEARCH(("Nhận tiền"),(A8))))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3" width="10.5"/>
    <col customWidth="1" min="4" max="4" width="9.75"/>
    <col customWidth="1" min="5" max="5" width="16.5"/>
    <col customWidth="1" min="6" max="6" width="9.88"/>
    <col customWidth="1" min="7" max="7" width="19.38"/>
    <col customWidth="1" min="11" max="11" width="11.75"/>
    <col customWidth="1" min="12" max="12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2"/>
      <c r="L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5"/>
      <c r="L2" s="2"/>
    </row>
    <row r="3">
      <c r="A3" s="2"/>
      <c r="B3" s="4"/>
      <c r="C3" s="120" t="s">
        <v>221</v>
      </c>
      <c r="E3" s="8"/>
      <c r="F3" s="8"/>
      <c r="G3" s="8"/>
      <c r="H3" s="10">
        <v>1.0</v>
      </c>
      <c r="I3" s="10">
        <v>3.0</v>
      </c>
      <c r="J3" s="10">
        <v>4.0</v>
      </c>
      <c r="K3" s="5"/>
      <c r="L3" s="2"/>
    </row>
    <row r="4">
      <c r="A4" s="2"/>
      <c r="B4" s="5"/>
      <c r="C4" s="11" t="s">
        <v>223</v>
      </c>
      <c r="D4" s="8"/>
      <c r="E4" s="8"/>
      <c r="F4" s="8"/>
      <c r="G4" s="121"/>
      <c r="H4" s="122" t="s">
        <v>11</v>
      </c>
      <c r="I4" s="122" t="s">
        <v>14</v>
      </c>
      <c r="J4" s="122" t="s">
        <v>15</v>
      </c>
      <c r="K4" s="8"/>
      <c r="L4" s="2"/>
    </row>
    <row r="5">
      <c r="A5" s="2"/>
      <c r="B5" s="8"/>
      <c r="C5" s="8"/>
      <c r="D5" s="8"/>
      <c r="E5" s="8"/>
      <c r="F5" s="92"/>
      <c r="G5" s="123" t="s">
        <v>226</v>
      </c>
      <c r="H5" s="124">
        <f t="shared" ref="H5:J5" si="1">round(sumif($D:$D,H4,$C:$C),0)</f>
        <v>324500</v>
      </c>
      <c r="I5" s="124">
        <f t="shared" si="1"/>
        <v>0</v>
      </c>
      <c r="J5" s="124">
        <f t="shared" si="1"/>
        <v>0</v>
      </c>
      <c r="K5" s="8"/>
      <c r="L5" s="2"/>
    </row>
    <row r="6">
      <c r="A6" s="2"/>
      <c r="B6" s="8"/>
      <c r="C6" s="8"/>
      <c r="D6" s="8"/>
      <c r="E6" s="8"/>
      <c r="F6" s="92"/>
      <c r="G6" s="123" t="s">
        <v>227</v>
      </c>
      <c r="H6" s="124">
        <f t="shared" ref="H6:J6" si="2">round(sum(H12:H15),0)</f>
        <v>108167</v>
      </c>
      <c r="I6" s="124">
        <f t="shared" si="2"/>
        <v>108167</v>
      </c>
      <c r="J6" s="124">
        <f t="shared" si="2"/>
        <v>108167</v>
      </c>
      <c r="K6" s="8"/>
      <c r="L6" s="2"/>
    </row>
    <row r="7">
      <c r="A7" s="2"/>
      <c r="B7" s="8"/>
      <c r="C7" s="8"/>
      <c r="D7" s="8"/>
      <c r="E7" s="92"/>
      <c r="F7" s="125"/>
      <c r="G7" s="126" t="s">
        <v>228</v>
      </c>
      <c r="H7" s="127">
        <f t="shared" ref="H7:J7" si="3">H5-H6</f>
        <v>216333</v>
      </c>
      <c r="I7" s="127">
        <f t="shared" si="3"/>
        <v>-108167</v>
      </c>
      <c r="J7" s="127">
        <f t="shared" si="3"/>
        <v>-108167</v>
      </c>
      <c r="K7" s="8"/>
      <c r="L7" s="2"/>
    </row>
    <row r="8">
      <c r="A8" s="128"/>
      <c r="B8" s="129"/>
      <c r="C8" s="12"/>
      <c r="D8" s="130"/>
      <c r="E8" s="129"/>
      <c r="F8" s="129"/>
      <c r="G8" s="132"/>
      <c r="H8" s="135" t="str">
        <f t="shared" ref="H8:J8" si="4">if(H7&lt;0,"Chuyển tiền","Nhận tiền")</f>
        <v>Nhận tiền</v>
      </c>
      <c r="I8" s="135" t="str">
        <f t="shared" si="4"/>
        <v>Chuyển tiền</v>
      </c>
      <c r="J8" s="135" t="str">
        <f t="shared" si="4"/>
        <v>Chuyển tiền</v>
      </c>
      <c r="K8" s="129"/>
      <c r="L8" s="128"/>
    </row>
    <row r="9">
      <c r="A9" s="136"/>
      <c r="B9" s="137"/>
      <c r="C9" s="12"/>
      <c r="D9" s="138"/>
      <c r="E9" s="137"/>
      <c r="F9" s="137"/>
      <c r="G9" s="139" t="s">
        <v>42</v>
      </c>
      <c r="H9" s="153"/>
      <c r="I9" s="154" t="s">
        <v>253</v>
      </c>
      <c r="J9" s="155"/>
      <c r="K9" s="137"/>
      <c r="L9" s="136"/>
    </row>
    <row r="10">
      <c r="A10" s="2"/>
      <c r="B10" s="8"/>
      <c r="C10" s="140">
        <v>3.0</v>
      </c>
      <c r="D10" s="138" t="s">
        <v>235</v>
      </c>
      <c r="E10" s="8"/>
      <c r="F10" s="8"/>
      <c r="G10" s="8"/>
      <c r="H10" s="8"/>
      <c r="I10" s="8"/>
      <c r="J10" s="8"/>
      <c r="K10" s="8"/>
      <c r="L10" s="2"/>
    </row>
    <row r="11">
      <c r="A11" s="63"/>
      <c r="B11" s="64"/>
      <c r="C11" s="141" t="s">
        <v>236</v>
      </c>
      <c r="D11" s="141" t="s">
        <v>238</v>
      </c>
      <c r="E11" s="142" t="s">
        <v>239</v>
      </c>
      <c r="F11" s="69" t="s">
        <v>49</v>
      </c>
      <c r="G11" s="143" t="s">
        <v>240</v>
      </c>
      <c r="H11" s="122" t="str">
        <f t="shared" ref="H11:J11" si="5">H4</f>
        <v>Toàn</v>
      </c>
      <c r="I11" s="122" t="str">
        <f t="shared" si="5"/>
        <v>Tú</v>
      </c>
      <c r="J11" s="122" t="str">
        <f t="shared" si="5"/>
        <v>Kiên</v>
      </c>
      <c r="K11" s="8"/>
      <c r="L11" s="2"/>
    </row>
    <row r="12">
      <c r="A12" s="144"/>
      <c r="B12" s="145"/>
      <c r="C12" s="146">
        <v>136500.0</v>
      </c>
      <c r="D12" s="146" t="str">
        <f>H4</f>
        <v>Toàn</v>
      </c>
      <c r="E12" s="147"/>
      <c r="F12" s="139" t="b">
        <f>C12=sum(H12:J12)</f>
        <v>1</v>
      </c>
      <c r="G12" s="123" t="s">
        <v>242</v>
      </c>
      <c r="H12" s="123">
        <f t="shared" ref="H12:J12" si="6">$C12/$C$10</f>
        <v>45500</v>
      </c>
      <c r="I12" s="123">
        <f t="shared" si="6"/>
        <v>45500</v>
      </c>
      <c r="J12" s="123">
        <f t="shared" si="6"/>
        <v>45500</v>
      </c>
      <c r="K12" s="8"/>
      <c r="L12" s="2"/>
    </row>
    <row r="13">
      <c r="A13" s="144"/>
      <c r="B13" s="145"/>
      <c r="C13" s="146">
        <v>45000.0</v>
      </c>
      <c r="D13" s="146" t="str">
        <f>H4</f>
        <v>Toàn</v>
      </c>
      <c r="E13" s="147"/>
      <c r="F13" s="139" t="b">
        <f>C13=sum(H13:L13)</f>
        <v>1</v>
      </c>
      <c r="G13" s="123" t="s">
        <v>256</v>
      </c>
      <c r="H13" s="123">
        <f t="shared" ref="H13:J13" si="7">$C13/$C$10</f>
        <v>15000</v>
      </c>
      <c r="I13" s="123">
        <f t="shared" si="7"/>
        <v>15000</v>
      </c>
      <c r="J13" s="123">
        <f t="shared" si="7"/>
        <v>15000</v>
      </c>
      <c r="K13" s="8"/>
      <c r="L13" s="2"/>
    </row>
    <row r="14">
      <c r="A14" s="144"/>
      <c r="B14" s="145"/>
      <c r="C14" s="146">
        <v>143000.0</v>
      </c>
      <c r="D14" s="146" t="str">
        <f>H4</f>
        <v>Toàn</v>
      </c>
      <c r="E14" s="147"/>
      <c r="F14" s="139" t="b">
        <f>C14=sum(H14:J14)</f>
        <v>1</v>
      </c>
      <c r="G14" s="123" t="s">
        <v>260</v>
      </c>
      <c r="H14" s="124">
        <f t="shared" ref="H14:J14" si="8">$C$14/$C$10</f>
        <v>47666.66667</v>
      </c>
      <c r="I14" s="124">
        <f t="shared" si="8"/>
        <v>47666.66667</v>
      </c>
      <c r="J14" s="124">
        <f t="shared" si="8"/>
        <v>47666.66667</v>
      </c>
      <c r="K14" s="8"/>
      <c r="L14" s="2"/>
    </row>
    <row r="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2"/>
    </row>
    <row r="16" ht="19.5" customHeight="1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1">
    <mergeCell ref="C3:D3"/>
  </mergeCells>
  <conditionalFormatting sqref="A8:B8 E8:L8">
    <cfRule type="containsText" dxfId="0" priority="1" operator="containsText" text="Chuyển tiền">
      <formula>NOT(ISERROR(SEARCH(("Chuyển tiền"),(A8))))</formula>
    </cfRule>
  </conditionalFormatting>
  <conditionalFormatting sqref="A8:B8 E8:L8">
    <cfRule type="containsText" dxfId="1" priority="2" operator="containsText" text="Nhận tiền">
      <formula>NOT(ISERROR(SEARCH(("Nhận tiền"),(A8))))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3" width="10.5"/>
    <col customWidth="1" min="4" max="4" width="9.75"/>
    <col customWidth="1" min="5" max="5" width="16.5"/>
    <col customWidth="1" min="6" max="6" width="9.88"/>
    <col customWidth="1" min="7" max="7" width="19.38"/>
    <col customWidth="1" min="13" max="16" width="11.75"/>
    <col customWidth="1" min="17" max="17" width="2.13"/>
  </cols>
  <sheetData>
    <row r="1" ht="15.75" customHeight="1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</row>
    <row r="2">
      <c r="A2" s="2"/>
      <c r="B2" s="4"/>
      <c r="C2" s="4"/>
      <c r="D2" s="5"/>
      <c r="E2" s="5"/>
      <c r="F2" s="5"/>
      <c r="G2" s="5"/>
      <c r="H2" s="4"/>
      <c r="I2" s="4"/>
      <c r="J2" s="4"/>
      <c r="K2" s="4"/>
      <c r="L2" s="4"/>
      <c r="M2" s="5"/>
      <c r="N2" s="5"/>
      <c r="O2" s="5"/>
      <c r="P2" s="5"/>
      <c r="Q2" s="2"/>
    </row>
    <row r="3">
      <c r="A3" s="2"/>
      <c r="B3" s="4"/>
      <c r="C3" s="120" t="s">
        <v>221</v>
      </c>
      <c r="E3" s="8"/>
      <c r="F3" s="8"/>
      <c r="G3" s="8"/>
      <c r="H3" s="10">
        <v>1.0</v>
      </c>
      <c r="I3" s="10">
        <v>2.0</v>
      </c>
      <c r="J3" s="10">
        <v>3.0</v>
      </c>
      <c r="K3" s="10">
        <v>4.0</v>
      </c>
      <c r="L3" s="10">
        <v>5.0</v>
      </c>
      <c r="M3" s="10">
        <v>6.0</v>
      </c>
      <c r="N3" s="10">
        <v>7.0</v>
      </c>
      <c r="O3" s="10">
        <v>8.0</v>
      </c>
      <c r="P3" s="5"/>
      <c r="Q3" s="2"/>
    </row>
    <row r="4">
      <c r="A4" s="2"/>
      <c r="B4" s="5"/>
      <c r="C4" s="11" t="s">
        <v>223</v>
      </c>
      <c r="D4" s="8"/>
      <c r="E4" s="8"/>
      <c r="F4" s="8"/>
      <c r="G4" s="121"/>
      <c r="H4" s="122" t="s">
        <v>11</v>
      </c>
      <c r="I4" s="122" t="s">
        <v>136</v>
      </c>
      <c r="J4" s="122" t="s">
        <v>14</v>
      </c>
      <c r="K4" s="122" t="s">
        <v>15</v>
      </c>
      <c r="L4" s="122" t="s">
        <v>143</v>
      </c>
      <c r="M4" s="122" t="s">
        <v>230</v>
      </c>
      <c r="N4" s="122" t="s">
        <v>145</v>
      </c>
      <c r="O4" s="122" t="s">
        <v>267</v>
      </c>
      <c r="P4" s="8"/>
      <c r="Q4" s="2"/>
    </row>
    <row r="5">
      <c r="A5" s="2"/>
      <c r="B5" s="8"/>
      <c r="C5" s="8"/>
      <c r="D5" s="8"/>
      <c r="E5" s="8"/>
      <c r="F5" s="92"/>
      <c r="G5" s="123" t="s">
        <v>226</v>
      </c>
      <c r="H5" s="124">
        <f t="shared" ref="H5:O5" si="1">round(sumif($D:$D,H4,$C:$C),0)</f>
        <v>523333</v>
      </c>
      <c r="I5" s="124">
        <f t="shared" si="1"/>
        <v>310500</v>
      </c>
      <c r="J5" s="124">
        <f t="shared" si="1"/>
        <v>0</v>
      </c>
      <c r="K5" s="124">
        <f t="shared" si="1"/>
        <v>0</v>
      </c>
      <c r="L5" s="124">
        <f t="shared" si="1"/>
        <v>0</v>
      </c>
      <c r="M5" s="124">
        <f t="shared" si="1"/>
        <v>0</v>
      </c>
      <c r="N5" s="124">
        <f t="shared" si="1"/>
        <v>0</v>
      </c>
      <c r="O5" s="124">
        <f t="shared" si="1"/>
        <v>0</v>
      </c>
      <c r="P5" s="8"/>
      <c r="Q5" s="2"/>
    </row>
    <row r="6">
      <c r="A6" s="2"/>
      <c r="B6" s="8"/>
      <c r="C6" s="8"/>
      <c r="D6" s="8"/>
      <c r="E6" s="8"/>
      <c r="F6" s="92"/>
      <c r="G6" s="123" t="s">
        <v>227</v>
      </c>
      <c r="H6" s="124">
        <f t="shared" ref="H6:O6" si="2">round(sum(H12:H17),0)</f>
        <v>124250</v>
      </c>
      <c r="I6" s="124">
        <f t="shared" si="2"/>
        <v>602685</v>
      </c>
      <c r="J6" s="124">
        <f t="shared" si="2"/>
        <v>124250</v>
      </c>
      <c r="K6" s="124">
        <f t="shared" si="2"/>
        <v>124250</v>
      </c>
      <c r="L6" s="124">
        <f t="shared" si="2"/>
        <v>-354185</v>
      </c>
      <c r="M6" s="124">
        <f t="shared" si="2"/>
        <v>124250</v>
      </c>
      <c r="N6" s="124">
        <f t="shared" si="2"/>
        <v>44167</v>
      </c>
      <c r="O6" s="124">
        <f t="shared" si="2"/>
        <v>44167</v>
      </c>
      <c r="P6" s="8"/>
      <c r="Q6" s="2"/>
    </row>
    <row r="7">
      <c r="A7" s="2"/>
      <c r="B7" s="8"/>
      <c r="C7" s="8"/>
      <c r="D7" s="8"/>
      <c r="E7" s="92"/>
      <c r="F7" s="125"/>
      <c r="G7" s="126" t="s">
        <v>228</v>
      </c>
      <c r="H7" s="127">
        <f t="shared" ref="H7:O7" si="3">H5-H6</f>
        <v>399083</v>
      </c>
      <c r="I7" s="127">
        <f t="shared" si="3"/>
        <v>-292185</v>
      </c>
      <c r="J7" s="127">
        <f t="shared" si="3"/>
        <v>-124250</v>
      </c>
      <c r="K7" s="127">
        <f t="shared" si="3"/>
        <v>-124250</v>
      </c>
      <c r="L7" s="127">
        <f t="shared" si="3"/>
        <v>354185</v>
      </c>
      <c r="M7" s="127">
        <f t="shared" si="3"/>
        <v>-124250</v>
      </c>
      <c r="N7" s="127">
        <f t="shared" si="3"/>
        <v>-44167</v>
      </c>
      <c r="O7" s="127">
        <f t="shared" si="3"/>
        <v>-44167</v>
      </c>
      <c r="P7" s="8"/>
      <c r="Q7" s="2"/>
    </row>
    <row r="8">
      <c r="A8" s="128"/>
      <c r="B8" s="129"/>
      <c r="C8" s="12"/>
      <c r="D8" s="130"/>
      <c r="E8" s="129"/>
      <c r="F8" s="129"/>
      <c r="G8" s="132"/>
      <c r="H8" s="135" t="str">
        <f t="shared" ref="H8:O8" si="4">if(H7&lt;0,"Chuyển tiền","Nhận tiền")</f>
        <v>Nhận tiền</v>
      </c>
      <c r="I8" s="135" t="str">
        <f t="shared" si="4"/>
        <v>Chuyển tiền</v>
      </c>
      <c r="J8" s="135" t="str">
        <f t="shared" si="4"/>
        <v>Chuyển tiền</v>
      </c>
      <c r="K8" s="135" t="str">
        <f t="shared" si="4"/>
        <v>Chuyển tiền</v>
      </c>
      <c r="L8" s="135" t="str">
        <f t="shared" si="4"/>
        <v>Nhận tiền</v>
      </c>
      <c r="M8" s="135" t="str">
        <f t="shared" si="4"/>
        <v>Chuyển tiền</v>
      </c>
      <c r="N8" s="135" t="str">
        <f t="shared" si="4"/>
        <v>Chuyển tiền</v>
      </c>
      <c r="O8" s="135" t="str">
        <f t="shared" si="4"/>
        <v>Chuyển tiền</v>
      </c>
      <c r="P8" s="129"/>
      <c r="Q8" s="128"/>
    </row>
    <row r="9">
      <c r="A9" s="136"/>
      <c r="B9" s="137"/>
      <c r="C9" s="140">
        <v>6.0</v>
      </c>
      <c r="D9" s="138" t="s">
        <v>272</v>
      </c>
      <c r="E9" s="137"/>
      <c r="F9" s="137"/>
      <c r="G9" s="139" t="s">
        <v>42</v>
      </c>
      <c r="H9" s="139" t="s">
        <v>223</v>
      </c>
      <c r="I9" s="139" t="s">
        <v>223</v>
      </c>
      <c r="J9" s="139" t="s">
        <v>273</v>
      </c>
      <c r="K9" s="139" t="s">
        <v>223</v>
      </c>
      <c r="L9" s="139" t="s">
        <v>223</v>
      </c>
      <c r="M9" s="139" t="s">
        <v>223</v>
      </c>
      <c r="N9" s="139" t="s">
        <v>223</v>
      </c>
      <c r="O9" s="139" t="s">
        <v>223</v>
      </c>
      <c r="P9" s="137"/>
      <c r="Q9" s="136"/>
    </row>
    <row r="10">
      <c r="A10" s="2"/>
      <c r="B10" s="8"/>
      <c r="C10" s="140">
        <v>8.0</v>
      </c>
      <c r="D10" s="138" t="s">
        <v>235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2"/>
    </row>
    <row r="11">
      <c r="A11" s="63"/>
      <c r="B11" s="64"/>
      <c r="C11" s="141" t="s">
        <v>236</v>
      </c>
      <c r="D11" s="141" t="s">
        <v>238</v>
      </c>
      <c r="E11" s="142" t="s">
        <v>239</v>
      </c>
      <c r="F11" s="69" t="s">
        <v>49</v>
      </c>
      <c r="G11" s="143" t="s">
        <v>240</v>
      </c>
      <c r="H11" s="122" t="str">
        <f t="shared" ref="H11:O11" si="5">H4</f>
        <v>Toàn</v>
      </c>
      <c r="I11" s="122" t="str">
        <f t="shared" si="5"/>
        <v>Trường</v>
      </c>
      <c r="J11" s="122" t="str">
        <f t="shared" si="5"/>
        <v>Tú</v>
      </c>
      <c r="K11" s="122" t="str">
        <f t="shared" si="5"/>
        <v>Kiên</v>
      </c>
      <c r="L11" s="122" t="str">
        <f t="shared" si="5"/>
        <v>Băng</v>
      </c>
      <c r="M11" s="122" t="str">
        <f t="shared" si="5"/>
        <v>Thủy</v>
      </c>
      <c r="N11" s="122" t="str">
        <f t="shared" si="5"/>
        <v>Tâm</v>
      </c>
      <c r="O11" s="122" t="str">
        <f t="shared" si="5"/>
        <v>Phương Uyên</v>
      </c>
      <c r="P11" s="8"/>
      <c r="Q11" s="2"/>
    </row>
    <row r="12">
      <c r="A12" s="144"/>
      <c r="B12" s="145"/>
      <c r="C12" s="146">
        <v>240000.0</v>
      </c>
      <c r="D12" s="146" t="str">
        <f>H4</f>
        <v>Toàn</v>
      </c>
      <c r="E12" s="147"/>
      <c r="F12" s="139" t="b">
        <f>C12=sum(H12:O12)</f>
        <v>1</v>
      </c>
      <c r="G12" s="123" t="s">
        <v>242</v>
      </c>
      <c r="H12" s="123">
        <f t="shared" ref="H12:O12" si="6">$C12/$C$10</f>
        <v>30000</v>
      </c>
      <c r="I12" s="123">
        <f t="shared" si="6"/>
        <v>30000</v>
      </c>
      <c r="J12" s="123">
        <f t="shared" si="6"/>
        <v>30000</v>
      </c>
      <c r="K12" s="123">
        <f t="shared" si="6"/>
        <v>30000</v>
      </c>
      <c r="L12" s="123">
        <f t="shared" si="6"/>
        <v>30000</v>
      </c>
      <c r="M12" s="123">
        <f t="shared" si="6"/>
        <v>30000</v>
      </c>
      <c r="N12" s="123">
        <f t="shared" si="6"/>
        <v>30000</v>
      </c>
      <c r="O12" s="123">
        <f t="shared" si="6"/>
        <v>30000</v>
      </c>
      <c r="P12" s="8"/>
      <c r="Q12" s="2"/>
    </row>
    <row r="13">
      <c r="A13" s="144"/>
      <c r="B13" s="145"/>
      <c r="C13" s="146">
        <f>340000/12*4</f>
        <v>113333.3333</v>
      </c>
      <c r="D13" s="146" t="str">
        <f>H4</f>
        <v>Toàn</v>
      </c>
      <c r="E13" s="147" t="s">
        <v>55</v>
      </c>
      <c r="F13" s="139" t="b">
        <f>C13=sum(H13:Q13)</f>
        <v>1</v>
      </c>
      <c r="G13" s="123" t="s">
        <v>279</v>
      </c>
      <c r="H13" s="123">
        <f t="shared" ref="H13:O13" si="7">$C13/$C$10</f>
        <v>14166.66667</v>
      </c>
      <c r="I13" s="123">
        <f t="shared" si="7"/>
        <v>14166.66667</v>
      </c>
      <c r="J13" s="123">
        <f t="shared" si="7"/>
        <v>14166.66667</v>
      </c>
      <c r="K13" s="123">
        <f t="shared" si="7"/>
        <v>14166.66667</v>
      </c>
      <c r="L13" s="123">
        <f t="shared" si="7"/>
        <v>14166.66667</v>
      </c>
      <c r="M13" s="123">
        <f t="shared" si="7"/>
        <v>14166.66667</v>
      </c>
      <c r="N13" s="123">
        <f t="shared" si="7"/>
        <v>14166.66667</v>
      </c>
      <c r="O13" s="123">
        <f t="shared" si="7"/>
        <v>14166.66667</v>
      </c>
      <c r="P13" s="8"/>
      <c r="Q13" s="2"/>
    </row>
    <row r="14">
      <c r="A14" s="144"/>
      <c r="B14" s="145"/>
      <c r="C14" s="146">
        <v>310500.0</v>
      </c>
      <c r="D14" s="146" t="str">
        <f>I4</f>
        <v>Trường</v>
      </c>
      <c r="E14" s="147" t="s">
        <v>270</v>
      </c>
      <c r="F14" s="139" t="b">
        <f t="shared" ref="F14:F15" si="9">C14=sum(H14:M14)</f>
        <v>1</v>
      </c>
      <c r="G14" s="123" t="s">
        <v>281</v>
      </c>
      <c r="H14" s="124">
        <f t="shared" ref="H14:M14" si="8">$C$14/$C$9</f>
        <v>51750</v>
      </c>
      <c r="I14" s="124">
        <f t="shared" si="8"/>
        <v>51750</v>
      </c>
      <c r="J14" s="124">
        <f t="shared" si="8"/>
        <v>51750</v>
      </c>
      <c r="K14" s="124">
        <f t="shared" si="8"/>
        <v>51750</v>
      </c>
      <c r="L14" s="124">
        <f t="shared" si="8"/>
        <v>51750</v>
      </c>
      <c r="M14" s="124">
        <f t="shared" si="8"/>
        <v>51750</v>
      </c>
      <c r="N14" s="123">
        <v>0.0</v>
      </c>
      <c r="O14" s="123">
        <v>0.0</v>
      </c>
      <c r="P14" s="8"/>
      <c r="Q14" s="2"/>
    </row>
    <row r="15">
      <c r="A15" s="144"/>
      <c r="B15" s="145"/>
      <c r="C15" s="146">
        <v>170000.0</v>
      </c>
      <c r="D15" s="146" t="str">
        <f>H4</f>
        <v>Toàn</v>
      </c>
      <c r="E15" s="147" t="s">
        <v>270</v>
      </c>
      <c r="F15" s="139" t="b">
        <f t="shared" si="9"/>
        <v>1</v>
      </c>
      <c r="G15" s="123" t="s">
        <v>282</v>
      </c>
      <c r="H15" s="124">
        <f t="shared" ref="H15:M15" si="10">$C$15/$C$9</f>
        <v>28333.33333</v>
      </c>
      <c r="I15" s="124">
        <f t="shared" si="10"/>
        <v>28333.33333</v>
      </c>
      <c r="J15" s="124">
        <f t="shared" si="10"/>
        <v>28333.33333</v>
      </c>
      <c r="K15" s="124">
        <f t="shared" si="10"/>
        <v>28333.33333</v>
      </c>
      <c r="L15" s="124">
        <f t="shared" si="10"/>
        <v>28333.33333</v>
      </c>
      <c r="M15" s="124">
        <f t="shared" si="10"/>
        <v>28333.33333</v>
      </c>
      <c r="N15" s="123">
        <v>0.0</v>
      </c>
      <c r="O15" s="123">
        <v>0.0</v>
      </c>
      <c r="P15" s="8"/>
      <c r="Q15" s="2"/>
    </row>
    <row r="16">
      <c r="A16" s="144"/>
      <c r="B16" s="145"/>
      <c r="C16" s="146"/>
      <c r="D16" s="146"/>
      <c r="E16" s="147"/>
      <c r="F16" s="139" t="b">
        <f>C16=sum(H16:L16)</f>
        <v>1</v>
      </c>
      <c r="G16" s="123" t="s">
        <v>283</v>
      </c>
      <c r="H16" s="124">
        <f>C16/4</f>
        <v>0</v>
      </c>
      <c r="I16" s="123">
        <v>478435.0</v>
      </c>
      <c r="J16" s="124">
        <f>C16/4</f>
        <v>0</v>
      </c>
      <c r="K16" s="124">
        <f>C16/4</f>
        <v>0</v>
      </c>
      <c r="L16" s="123">
        <v>-478435.0</v>
      </c>
      <c r="M16" s="123"/>
      <c r="N16" s="123">
        <v>0.0</v>
      </c>
      <c r="O16" s="123">
        <v>0.0</v>
      </c>
      <c r="P16" s="8"/>
      <c r="Q16" s="2"/>
    </row>
    <row r="17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2"/>
    </row>
    <row r="18" ht="19.5" customHeight="1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mergeCells count="1">
    <mergeCell ref="C3:D3"/>
  </mergeCells>
  <conditionalFormatting sqref="A8:B8 E8:Q8">
    <cfRule type="containsText" dxfId="0" priority="1" operator="containsText" text="Chuyển tiền">
      <formula>NOT(ISERROR(SEARCH(("Chuyển tiền"),(A8))))</formula>
    </cfRule>
  </conditionalFormatting>
  <conditionalFormatting sqref="A8:B8 E8:Q8">
    <cfRule type="containsText" dxfId="1" priority="2" operator="containsText" text="Nhận tiền">
      <formula>NOT(ISERROR(SEARCH(("Nhận tiền"),(A8))))</formula>
    </cfRule>
  </conditionalFormatting>
  <printOptions gridLines="1" horizontalCentered="1"/>
  <pageMargins bottom="0.75" footer="0.0" header="0.0" left="0.7" right="0.7" top="0.75"/>
  <pageSetup paperSize="11" cellComments="atEnd" orientation="landscape" pageOrder="overThenDown"/>
  <drawing r:id="rId1"/>
</worksheet>
</file>